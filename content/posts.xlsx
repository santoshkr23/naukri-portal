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1" activeTab="6" autoFilterDateGrouping="1"/>
  </bookViews>
  <sheets>
    <sheet name="Summary" sheetId="1" state="visible" r:id="rId1"/>
    <sheet name="Latest Jobs" sheetId="2" state="visible" r:id="rId2"/>
    <sheet name="Vacancy &amp; Eligibility" sheetId="3" state="visible" r:id="rId3"/>
    <sheet name="Admit Card" sheetId="4" state="visible" r:id="rId4"/>
    <sheet name="Result" sheetId="5" state="visible" r:id="rId5"/>
    <sheet name="Answer Key" sheetId="6" state="visible" r:id="rId6"/>
    <sheet name="Admission" sheetId="7" state="visible" r:id="rId7"/>
    <sheet name="Syllabus" sheetId="8" state="visible" r:id="rId8"/>
    <sheet name="Exam Date" sheetId="9" state="visible" r:id="rId9"/>
    <sheet name="All Posts – To Write" sheetId="10" state="visible" r:id="rId10"/>
  </sheets>
  <definedNames>
    <definedName name="_xlnm._FilterDatabase" localSheetId="1" hidden="1">'Latest Jobs'!$A$1:$AA$31</definedName>
    <definedName name="_xlnm._FilterDatabase" localSheetId="2" hidden="1">'Vacancy &amp; Eligibility'!$A$1:$D$153</definedName>
    <definedName name="_xlnm._FilterDatabase" localSheetId="3" hidden="1">'Admit Card'!$A$1:$P$5</definedName>
    <definedName name="_xlnm._FilterDatabase" localSheetId="4" hidden="1">'Result'!$A$1:$P$4</definedName>
    <definedName name="_xlnm._FilterDatabase" localSheetId="5" hidden="1">'Answer Key'!$A$1:$P$4</definedName>
    <definedName name="_xlnm._FilterDatabase" localSheetId="6" hidden="1">'Admission'!$A$1:$P$2</definedName>
    <definedName name="_xlnm._FilterDatabase" localSheetId="7" hidden="1">'Syllabus'!$A$1:$P$4</definedName>
    <definedName name="_xlnm._FilterDatabase" localSheetId="8" hidden="1">'Exam Date'!$A$1:$P$4</definedName>
    <definedName name="_xlnm._FilterDatabase" localSheetId="9" hidden="1">'All Posts – To Write'!$A$1:$I$198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yyyy-mm-dd h:mm:ss"/>
  </numFmts>
  <fonts count="5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0"/>
    </font>
    <font>
      <name val="Arial"/>
      <charset val="1"/>
      <color rgb="FF0A5C8A"/>
      <sz val="10"/>
      <u val="single"/>
    </font>
  </fonts>
  <fills count="5">
    <fill>
      <patternFill/>
    </fill>
    <fill>
      <patternFill patternType="gray125"/>
    </fill>
    <fill>
      <patternFill patternType="solid">
        <fgColor rgb="FF0B3D3A"/>
        <bgColor rgb="FF003300"/>
      </patternFill>
    </fill>
    <fill>
      <patternFill patternType="solid">
        <fgColor rgb="FFB45309"/>
        <bgColor rgb="FF993366"/>
      </patternFill>
    </fill>
    <fill>
      <patternFill patternType="solid">
        <fgColor rgb="FFFFF4CC"/>
        <bgColor rgb="FFFEE2E2"/>
      </patternFill>
    </fill>
  </fills>
  <borders count="2">
    <border>
      <left/>
      <right/>
      <top/>
      <bottom/>
      <diagonal/>
    </border>
    <border>
      <left style="thin">
        <color rgb="FFD9E3E0"/>
      </left>
      <right style="thin">
        <color rgb="FFD9E3E0"/>
      </right>
      <top style="thin">
        <color rgb="FFD9E3E0"/>
      </top>
      <bottom style="thin">
        <color rgb="FFD9E3E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2" fillId="0" borderId="0" pivotButton="0" quotePrefix="0" xfId="0"/>
    <xf numFmtId="3" fontId="2" fillId="0" borderId="1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/>
  </cellStyles>
  <dxfs count="3">
    <dxf>
      <fill>
        <patternFill>
          <bgColor rgb="FFDCFCE7"/>
        </patternFill>
      </fill>
    </dxf>
    <dxf>
      <font>
        <name val="Arial"/>
        <charset val="1"/>
        <b val="1"/>
        <color rgb="FF991B1B"/>
      </font>
      <fill>
        <patternFill>
          <bgColor rgb="FFFEE2E2"/>
        </patternFill>
      </fill>
    </dxf>
    <dxf>
      <font>
        <name val="Arial"/>
        <charset val="1"/>
        <b val="1"/>
        <color rgb="FF166534"/>
      </font>
      <fill>
        <patternFill>
          <bgColor rgb="FFDCFCE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B45309"/>
      <rgbColor rgb="FFFFF4CC"/>
      <rgbColor rgb="FFDCFCE7"/>
      <rgbColor rgb="FF660066"/>
      <rgbColor rgb="FFFF8080"/>
      <rgbColor rgb="FF0A5C8A"/>
      <rgbColor rgb="FFD9E3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3D3A"/>
      <rgbColor rgb="FF339966"/>
      <rgbColor rgb="FF003300"/>
      <rgbColor rgb="FF333300"/>
      <rgbColor rgb="FF991B1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zoomScaleNormal="100" workbookViewId="0">
      <selection activeCell="E8" sqref="E8"/>
    </sheetView>
  </sheetViews>
  <sheetFormatPr baseColWidth="8" defaultColWidth="8.6640625" defaultRowHeight="14.4"/>
  <cols>
    <col width="34" customWidth="1" min="1" max="1"/>
    <col width="14" customWidth="1" min="2" max="5"/>
  </cols>
  <sheetData>
    <row r="1">
      <c r="A1" s="1" t="inlineStr">
        <is>
          <t>Progress</t>
        </is>
      </c>
      <c r="B1" s="1" t="inlineStr">
        <is>
          <t>Total</t>
        </is>
      </c>
      <c r="C1" s="1" t="inlineStr">
        <is>
          <t>Done</t>
        </is>
      </c>
      <c r="D1" s="1" t="inlineStr">
        <is>
          <t>Writing</t>
        </is>
      </c>
      <c r="E1" s="1" t="inlineStr">
        <is>
          <t>To do</t>
        </is>
      </c>
    </row>
    <row r="2">
      <c r="A2" s="2" t="inlineStr">
        <is>
          <t>Latest Jobs</t>
        </is>
      </c>
      <c r="B2" s="2">
        <f>COUNTIF('All Posts – To Write'!$B$2:$B$198,A2)</f>
        <v/>
      </c>
      <c r="C2" s="2">
        <f>COUNTIFS('All Posts – To Write'!$B$2:$B$198,A2,'All Posts – To Write'!$H$2:$H$198,"Done")</f>
        <v/>
      </c>
      <c r="D2" s="2">
        <f>COUNTIFS('All Posts – To Write'!$B$2:$B$198,A2,'All Posts – To Write'!$H$2:$H$198,"Writing")</f>
        <v/>
      </c>
      <c r="E2" s="2">
        <f>COUNTIFS('All Posts – To Write'!$B$2:$B$198,A2,'All Posts – To Write'!$H$2:$H$198,"To do")</f>
        <v/>
      </c>
    </row>
    <row r="3">
      <c r="A3" s="2" t="inlineStr">
        <is>
          <t>Result</t>
        </is>
      </c>
      <c r="B3" s="2">
        <f>COUNTIF('All Posts – To Write'!$B$2:$B$198,A3)</f>
        <v/>
      </c>
      <c r="C3" s="2">
        <f>COUNTIFS('All Posts – To Write'!$B$2:$B$198,A3,'All Posts – To Write'!$H$2:$H$198,"Done")</f>
        <v/>
      </c>
      <c r="D3" s="2">
        <f>COUNTIFS('All Posts – To Write'!$B$2:$B$198,A3,'All Posts – To Write'!$H$2:$H$198,"Writing")</f>
        <v/>
      </c>
      <c r="E3" s="2">
        <f>COUNTIFS('All Posts – To Write'!$B$2:$B$198,A3,'All Posts – To Write'!$H$2:$H$198,"To do")</f>
        <v/>
      </c>
    </row>
    <row r="4">
      <c r="A4" s="2" t="inlineStr">
        <is>
          <t>Admit Card</t>
        </is>
      </c>
      <c r="B4" s="2">
        <f>COUNTIF('All Posts – To Write'!$B$2:$B$198,A4)</f>
        <v/>
      </c>
      <c r="C4" s="2">
        <f>COUNTIFS('All Posts – To Write'!$B$2:$B$198,A4,'All Posts – To Write'!$H$2:$H$198,"Done")</f>
        <v/>
      </c>
      <c r="D4" s="2">
        <f>COUNTIFS('All Posts – To Write'!$B$2:$B$198,A4,'All Posts – To Write'!$H$2:$H$198,"Writing")</f>
        <v/>
      </c>
      <c r="E4" s="2">
        <f>COUNTIFS('All Posts – To Write'!$B$2:$B$198,A4,'All Posts – To Write'!$H$2:$H$198,"To do")</f>
        <v/>
      </c>
    </row>
    <row r="5">
      <c r="A5" s="2" t="inlineStr">
        <is>
          <t>Answer Key</t>
        </is>
      </c>
      <c r="B5" s="2">
        <f>COUNTIF('All Posts – To Write'!$B$2:$B$198,A5)</f>
        <v/>
      </c>
      <c r="C5" s="2">
        <f>COUNTIFS('All Posts – To Write'!$B$2:$B$198,A5,'All Posts – To Write'!$H$2:$H$198,"Done")</f>
        <v/>
      </c>
      <c r="D5" s="2">
        <f>COUNTIFS('All Posts – To Write'!$B$2:$B$198,A5,'All Posts – To Write'!$H$2:$H$198,"Writing")</f>
        <v/>
      </c>
      <c r="E5" s="2">
        <f>COUNTIFS('All Posts – To Write'!$B$2:$B$198,A5,'All Posts – To Write'!$H$2:$H$198,"To do")</f>
        <v/>
      </c>
    </row>
    <row r="6">
      <c r="A6" s="2" t="inlineStr">
        <is>
          <t>Syllabus</t>
        </is>
      </c>
      <c r="B6" s="2">
        <f>COUNTIF('All Posts – To Write'!$B$2:$B$198,A6)</f>
        <v/>
      </c>
      <c r="C6" s="2">
        <f>COUNTIFS('All Posts – To Write'!$B$2:$B$198,A6,'All Posts – To Write'!$H$2:$H$198,"Done")</f>
        <v/>
      </c>
      <c r="D6" s="2">
        <f>COUNTIFS('All Posts – To Write'!$B$2:$B$198,A6,'All Posts – To Write'!$H$2:$H$198,"Writing")</f>
        <v/>
      </c>
      <c r="E6" s="2">
        <f>COUNTIFS('All Posts – To Write'!$B$2:$B$198,A6,'All Posts – To Write'!$H$2:$H$198,"To do")</f>
        <v/>
      </c>
    </row>
    <row r="7">
      <c r="A7" s="2" t="inlineStr">
        <is>
          <t>Admission</t>
        </is>
      </c>
      <c r="B7" s="2">
        <f>COUNTIF('All Posts – To Write'!$B$2:$B$198,A7)</f>
        <v/>
      </c>
      <c r="C7" s="2">
        <f>COUNTIFS('All Posts – To Write'!$B$2:$B$198,A7,'All Posts – To Write'!$H$2:$H$198,"Done")</f>
        <v/>
      </c>
      <c r="D7" s="2">
        <f>COUNTIFS('All Posts – To Write'!$B$2:$B$198,A7,'All Posts – To Write'!$H$2:$H$198,"Writing")</f>
        <v/>
      </c>
      <c r="E7" s="2">
        <f>COUNTIFS('All Posts – To Write'!$B$2:$B$198,A7,'All Posts – To Write'!$H$2:$H$198,"To do")</f>
        <v/>
      </c>
    </row>
    <row r="8">
      <c r="A8" s="2" t="inlineStr">
        <is>
          <t>Certificate</t>
        </is>
      </c>
      <c r="B8" s="2">
        <f>COUNTIF('All Posts – To Write'!$B$2:$B$198,A8)</f>
        <v/>
      </c>
      <c r="C8" s="2">
        <f>COUNTIFS('All Posts – To Write'!$B$2:$B$198,A8,'All Posts – To Write'!$H$2:$H$198,"Done")</f>
        <v/>
      </c>
      <c r="D8" s="2">
        <f>COUNTIFS('All Posts – To Write'!$B$2:$B$198,A8,'All Posts – To Write'!$H$2:$H$198,"Writing")</f>
        <v/>
      </c>
      <c r="E8" s="2">
        <f>COUNTIFS('All Posts – To Write'!$B$2:$B$198,A8,'All Posts – To Write'!$H$2:$H$198,"To do")</f>
        <v/>
      </c>
    </row>
    <row r="9">
      <c r="A9" s="2" t="inlineStr">
        <is>
          <t>Outsourcing</t>
        </is>
      </c>
      <c r="B9" s="2">
        <f>COUNTIF('All Posts – To Write'!$B$2:$B$198,A9)</f>
        <v/>
      </c>
      <c r="C9" s="2">
        <f>COUNTIFS('All Posts – To Write'!$B$2:$B$198,A9,'All Posts – To Write'!$H$2:$H$198,"Done")</f>
        <v/>
      </c>
      <c r="D9" s="2">
        <f>COUNTIFS('All Posts – To Write'!$B$2:$B$198,A9,'All Posts – To Write'!$H$2:$H$198,"Writing")</f>
        <v/>
      </c>
      <c r="E9" s="2">
        <f>COUNTIFS('All Posts – To Write'!$B$2:$B$198,A9,'All Posts – To Write'!$H$2:$H$198,"To do")</f>
        <v/>
      </c>
    </row>
    <row r="10">
      <c r="A10" s="2" t="inlineStr">
        <is>
          <t>Important</t>
        </is>
      </c>
      <c r="B10" s="2">
        <f>COUNTIF('All Posts – To Write'!$B$2:$B$198,A10)</f>
        <v/>
      </c>
      <c r="C10" s="2">
        <f>COUNTIFS('All Posts – To Write'!$B$2:$B$198,A10,'All Posts – To Write'!$H$2:$H$198,"Done")</f>
        <v/>
      </c>
      <c r="D10" s="2">
        <f>COUNTIFS('All Posts – To Write'!$B$2:$B$198,A10,'All Posts – To Write'!$H$2:$H$198,"Writing")</f>
        <v/>
      </c>
      <c r="E10" s="2">
        <f>COUNTIFS('All Posts – To Write'!$B$2:$B$198,A10,'All Posts – To Write'!$H$2:$H$198,"To do")</f>
        <v/>
      </c>
    </row>
    <row r="11">
      <c r="A11" s="3" t="inlineStr">
        <is>
          <t>All sections</t>
        </is>
      </c>
      <c r="B11" s="3">
        <f>SUM(B2:B10)</f>
        <v/>
      </c>
      <c r="C11" s="3">
        <f>SUM(C2:C10)</f>
        <v/>
      </c>
      <c r="D11" s="3">
        <f>SUM(D2:D10)</f>
        <v/>
      </c>
      <c r="E11" s="3">
        <f>SUM(E2:E10)</f>
        <v/>
      </c>
    </row>
    <row r="12">
      <c r="A12" s="4" t="n"/>
      <c r="B12" s="4" t="n"/>
      <c r="C12" s="4" t="n"/>
      <c r="D12" s="4" t="n"/>
      <c r="E12" s="4" t="n"/>
    </row>
    <row r="13">
      <c r="A13" s="2" t="inlineStr">
        <is>
          <t>Detailed job rows (Latest Jobs sheet)</t>
        </is>
      </c>
      <c r="B13" s="5">
        <f>COUNTA('Latest Jobs'!B2:B31)</f>
        <v/>
      </c>
      <c r="C13" s="4" t="n"/>
      <c r="D13" s="4" t="n"/>
      <c r="E13" s="4" t="n"/>
    </row>
    <row r="14">
      <c r="A14" s="2" t="inlineStr">
        <is>
          <t>…of which still open today</t>
        </is>
      </c>
      <c r="B14" s="5">
        <f>COUNTIF('Latest Jobs'!I2:I31,"Open")</f>
        <v/>
      </c>
      <c r="C14" s="4" t="n"/>
      <c r="D14" s="4" t="n"/>
      <c r="E14" s="4" t="n"/>
    </row>
    <row r="15">
      <c r="A15" s="2" t="inlineStr">
        <is>
          <t>Total vacancies in open jobs</t>
        </is>
      </c>
      <c r="B15" s="5">
        <f>SUMIFS('Latest Jobs'!E2:E31,'Latest Jobs'!I2:I31,"Open")</f>
        <v/>
      </c>
      <c r="C15" s="4" t="n"/>
      <c r="D15" s="4" t="n"/>
      <c r="E15" s="4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9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" sqref="A1"/>
    </sheetView>
  </sheetViews>
  <sheetFormatPr baseColWidth="8" defaultColWidth="8.6640625" defaultRowHeight="14.4"/>
  <cols>
    <col width="5" customWidth="1" min="1" max="1"/>
    <col width="34" customWidth="1" min="2" max="2"/>
    <col width="28" customWidth="1" min="3" max="3"/>
    <col width="18" customWidth="1" min="4" max="4"/>
    <col width="9" customWidth="1" min="5" max="5"/>
    <col width="11" customWidth="1" min="6" max="6"/>
    <col width="13" customWidth="1" min="7" max="8"/>
    <col width="9" customWidth="1" min="9" max="9"/>
    <col width="14" customWidth="1" min="10" max="10"/>
    <col width="16" customWidth="1" min="11" max="11"/>
    <col width="34" customWidth="1" min="12" max="12"/>
    <col width="28" customWidth="1" min="13" max="13"/>
    <col width="18" customWidth="1" min="14" max="14"/>
    <col width="11" customWidth="1" min="15" max="15"/>
    <col width="16" customWidth="1" min="16" max="16"/>
    <col width="18" customWidth="1" min="17" max="17"/>
    <col width="38" customWidth="1" min="18" max="18"/>
    <col width="40" customWidth="1" min="19" max="19"/>
    <col width="26" customWidth="1" min="20" max="20"/>
    <col width="22" customWidth="1" min="21" max="21"/>
    <col width="26" customWidth="1" min="22" max="22"/>
    <col width="48" customWidth="1" min="23" max="23"/>
    <col width="40" customWidth="1" min="24" max="24"/>
    <col width="34" customWidth="1" min="25" max="26"/>
    <col width="11" customWidth="1" min="27" max="27"/>
  </cols>
  <sheetData>
    <row r="1" ht="33.75" customHeight="1">
      <c r="A1" s="6" t="inlineStr">
        <is>
          <t>#</t>
        </is>
      </c>
      <c r="B1" s="6" t="inlineStr">
        <is>
          <t>Post name</t>
        </is>
      </c>
      <c r="C1" s="6" t="inlineStr">
        <is>
          <t>Organisation</t>
        </is>
      </c>
      <c r="D1" s="6" t="inlineStr">
        <is>
          <t>Advt. no.</t>
        </is>
      </c>
      <c r="E1" s="6" t="inlineStr">
        <is>
          <t>Total posts</t>
        </is>
      </c>
      <c r="F1" s="6" t="inlineStr">
        <is>
          <t>Post date</t>
        </is>
      </c>
      <c r="G1" s="6" t="inlineStr">
        <is>
          <t>Application starts</t>
        </is>
      </c>
      <c r="H1" s="6" t="inlineStr">
        <is>
          <t>Last date</t>
        </is>
      </c>
      <c r="I1" s="6" t="inlineStr">
        <is>
          <t>Status</t>
        </is>
      </c>
      <c r="J1" s="6" t="inlineStr">
        <is>
          <t>Fee last date</t>
        </is>
      </c>
      <c r="K1" s="6" t="inlineStr">
        <is>
          <t>Exam date</t>
        </is>
      </c>
      <c r="L1" s="6" t="inlineStr">
        <is>
          <t>All important dates</t>
        </is>
      </c>
      <c r="M1" s="6" t="inlineStr">
        <is>
          <t>Application fee</t>
        </is>
      </c>
      <c r="N1" s="6" t="inlineStr">
        <is>
          <t>Fee payment mode</t>
        </is>
      </c>
      <c r="O1" s="6" t="inlineStr">
        <is>
          <t>Min age</t>
        </is>
      </c>
      <c r="P1" s="6" t="inlineStr">
        <is>
          <t>Max age</t>
        </is>
      </c>
      <c r="Q1" s="6" t="inlineStr">
        <is>
          <t>Age note / as on</t>
        </is>
      </c>
      <c r="R1" s="6" t="inlineStr">
        <is>
          <t>Vacancy (post – count)</t>
        </is>
      </c>
      <c r="S1" s="6" t="inlineStr">
        <is>
          <t>Eligibility</t>
        </is>
      </c>
      <c r="T1" s="6" t="inlineStr">
        <is>
          <t>Category-wise vacancy</t>
        </is>
      </c>
      <c r="U1" s="6" t="inlineStr">
        <is>
          <t>Pay / stipend</t>
        </is>
      </c>
      <c r="V1" s="6" t="inlineStr">
        <is>
          <t>Selection process</t>
        </is>
      </c>
      <c r="W1" s="6" t="inlineStr">
        <is>
          <t>Official links</t>
        </is>
      </c>
      <c r="X1" s="7" t="inlineStr">
        <is>
          <t>YOUR short info (write)</t>
        </is>
      </c>
      <c r="Y1" s="7" t="inlineStr">
        <is>
          <t>YOUR how to apply (write)</t>
        </is>
      </c>
      <c r="Z1" s="7" t="inlineStr">
        <is>
          <t>YOUR FAQs (write)</t>
        </is>
      </c>
      <c r="AA1" s="6" t="inlineStr">
        <is>
          <t>Written?</t>
        </is>
      </c>
    </row>
    <row r="2" ht="145.2" customHeight="1">
      <c r="A2" s="8" t="n">
        <v>1</v>
      </c>
      <c r="B2" s="9" t="inlineStr">
        <is>
          <t>Indian Army TGC-145 (July 2027 batch) Online Form 2026</t>
        </is>
      </c>
      <c r="C2" s="8" t="inlineStr">
        <is>
          <t>Indian Army</t>
        </is>
      </c>
      <c r="D2" s="8" t="inlineStr">
        <is>
          <t>TGC-145</t>
        </is>
      </c>
      <c r="E2" s="8" t="n">
        <v>30</v>
      </c>
      <c r="F2" s="8" t="inlineStr">
        <is>
          <t>07 Oct 2026</t>
        </is>
      </c>
      <c r="G2" s="8" t="inlineStr">
        <is>
          <t>30 Sep 2026</t>
        </is>
      </c>
      <c r="H2" s="10" t="n">
        <v>46324</v>
      </c>
      <c r="I2" s="8">
        <f>IF(H2="","",IF(H2&lt;TODAY(),"Closed","Open"))</f>
        <v/>
      </c>
      <c r="J2" s="8" t="inlineStr">
        <is>
          <t>No fee</t>
        </is>
      </c>
      <c r="K2" s="8" t="inlineStr">
        <is>
          <t>SSB interview as per Army schedule</t>
        </is>
      </c>
      <c r="L2" s="8" t="inlineStr">
        <is>
          <t>Application starts: 30 Sep 2026
Last date: 2026-10-29
Fee last date: No fee
Exam: SSB interview as per Army schedule</t>
        </is>
      </c>
      <c r="M2" s="8" t="inlineStr">
        <is>
          <t>All candidates: No fee</t>
        </is>
      </c>
      <c r="N2" s="8" t="n"/>
      <c r="O2" s="8" t="inlineStr">
        <is>
          <t>20 years</t>
        </is>
      </c>
      <c r="P2" s="8" t="inlineStr">
        <is>
          <t>27 years</t>
        </is>
      </c>
      <c r="Q2" s="8" t="inlineStr">
        <is>
          <t>As on 01 Jan 2027; unmarried men only</t>
        </is>
      </c>
      <c r="R2" s="8" t="inlineStr">
        <is>
          <t>Civil / Building Construction – 8
Computer Science / IT / M.Sc CS – 6
Mechanical / Production / Automobile – 6
Electronics &amp; Telecom – 6
Electrical / EEE – 2
Misc. engineering streams – 2</t>
        </is>
      </c>
      <c r="S2" s="8" t="inlineStr">
        <is>
          <t>Civil / Building Construction – B.E./B.Tech in branch (final-year can apply)
Computer Science / IT / M.Sc CS – B.E./B.Tech or M.Sc in branch
Mechanical / Production / Automobile – B.E./B.Tech in branch
Electronics &amp; Telecom – B.E./B.Tech in branch
Electrical / EEE – B.E./B.Tech in branch
Misc. engineering streams – B.E./B.Tech in branch</t>
        </is>
      </c>
      <c r="T2" s="8" t="n"/>
      <c r="U2" s="8" t="inlineStr">
        <is>
          <t>See official notification</t>
        </is>
      </c>
      <c r="V2" s="8" t="n"/>
      <c r="W2" s="8" t="inlineStr">
        <is>
          <t>Apply online: https://joinindianarmy.nic.in/
Join Indian Army official website: https://joinindianarmy.nic.in/index.htm</t>
        </is>
      </c>
      <c r="X2" s="11" t="inlineStr">
        <is>
          <t>EXAMPLE – replace: [Organisation] has opened [N] posts. Apply online between [start] and [last date]. Check age and qualification below.</t>
        </is>
      </c>
      <c r="Y2" s="11" t="inlineStr">
        <is>
          <t>EXAMPLE – 1. Read the notification  2. Register on the official site  3. Fill form &amp; upload documents  4. Pay fee &amp; print</t>
        </is>
      </c>
      <c r="Z2" s="11" t="inlineStr">
        <is>
          <t>EXAMPLE – Q: What is the last date? A: [date].</t>
        </is>
      </c>
      <c r="AA2" s="8" t="inlineStr">
        <is>
          <t>No</t>
        </is>
      </c>
    </row>
    <row r="3" ht="118.8" customHeight="1">
      <c r="A3" s="8" t="n">
        <v>2</v>
      </c>
      <c r="B3" s="9" t="inlineStr">
        <is>
          <t>NTA UGC NET December 2026 Online Form</t>
        </is>
      </c>
      <c r="C3" s="8" t="inlineStr">
        <is>
          <t>National Testing Agency (NTA)</t>
        </is>
      </c>
      <c r="D3" s="8" t="n"/>
      <c r="E3" s="8" t="n"/>
      <c r="F3" s="8" t="inlineStr">
        <is>
          <t>13 Oct 2026</t>
        </is>
      </c>
      <c r="G3" s="8" t="inlineStr">
        <is>
          <t>08 Oct 2026</t>
        </is>
      </c>
      <c r="H3" s="10" t="n">
        <v>46326</v>
      </c>
      <c r="I3" s="8">
        <f>IF(H3="","",IF(H3&lt;TODAY(),"Closed","Open"))</f>
        <v/>
      </c>
      <c r="J3" s="8" t="inlineStr">
        <is>
          <t>31 Oct 2026 (with ₹500 late fee; normal last date 28 Oct)</t>
        </is>
      </c>
      <c r="K3" s="8" t="inlineStr">
        <is>
          <t>14–19 Dec 2026</t>
        </is>
      </c>
      <c r="L3" s="8" t="inlineStr">
        <is>
          <t>Application starts: 08 Oct 2026
Last date: 2026-10-31
Fee last date: 31 Oct 2026 (with ₹500 late fee; normal last date 28 Oct)
Exam: 14–19 Dec 2026</t>
        </is>
      </c>
      <c r="M3" s="8" t="inlineStr">
        <is>
          <t>General: ₹1,150
EWS / OBC: ₹600
SC / ST / PwBD: ₹325
Late fee: ₹500</t>
        </is>
      </c>
      <c r="N3" s="8" t="inlineStr">
        <is>
          <t>Debit/credit card, net banking, UPI</t>
        </is>
      </c>
      <c r="O3" s="8" t="inlineStr">
        <is>
          <t>No minimum</t>
        </is>
      </c>
      <c r="P3" s="8" t="inlineStr">
        <is>
          <t>30 years for JRF; no limit for Assistant Professor / PhD</t>
        </is>
      </c>
      <c r="Q3" s="8" t="inlineStr">
        <is>
          <t>As on 01 Dec 2026</t>
        </is>
      </c>
      <c r="R3" s="8" t="inlineStr">
        <is>
          <t>JRF / Assistant Professor / PhD admission – —</t>
        </is>
      </c>
      <c r="S3" s="8" t="inlineStr">
        <is>
          <t>JRF / Assistant Professor / PhD admission – Master’s degree with 55% (50% for reserved)</t>
        </is>
      </c>
      <c r="T3" s="8" t="n"/>
      <c r="U3" s="8" t="inlineStr">
        <is>
          <t>See official notification</t>
        </is>
      </c>
      <c r="V3" s="8" t="n"/>
      <c r="W3" s="8" t="inlineStr">
        <is>
          <t>Apply online: https://examinationservices.nic.in/ExamSys27/root/home.aspx?enc=Ei4cajBkK1gZSfgr53ImFV%2FyIzhTZHBze3wooSg9DjjOvzupXmjixBOc0vZyJQ9v
Information bulletin (PDF): https://cdnbbsr.s3waas.gov.in/s301eee509ee2f68dc6014898c309e86bf/uploads/2026/10/202610081852912625.pdf
UGC NET official website: https://ugcnet.nta.nic.in/</t>
        </is>
      </c>
      <c r="X3" s="11" t="n"/>
      <c r="Y3" s="11" t="n"/>
      <c r="Z3" s="11" t="n"/>
      <c r="AA3" s="8" t="inlineStr">
        <is>
          <t>No</t>
        </is>
      </c>
    </row>
    <row r="4" ht="79.2" customHeight="1">
      <c r="A4" s="8" t="n">
        <v>3</v>
      </c>
      <c r="B4" s="9" t="inlineStr">
        <is>
          <t>LIC Housing Finance Apprentice Recruitment 2026</t>
        </is>
      </c>
      <c r="C4" s="8" t="inlineStr">
        <is>
          <t>LIC Housing Finance Limited</t>
        </is>
      </c>
      <c r="D4" s="8" t="inlineStr">
        <is>
          <t>Batch 10</t>
        </is>
      </c>
      <c r="E4" s="8" t="n">
        <v>232</v>
      </c>
      <c r="F4" s="8" t="inlineStr">
        <is>
          <t>23 Oct 2026</t>
        </is>
      </c>
      <c r="G4" s="8" t="inlineStr">
        <is>
          <t>20 Oct 2026</t>
        </is>
      </c>
      <c r="H4" s="10" t="n">
        <v>46327</v>
      </c>
      <c r="I4" s="8">
        <f>IF(H4="","",IF(H4&lt;TODAY(),"Closed","Open"))</f>
        <v/>
      </c>
      <c r="J4" s="8" t="inlineStr">
        <is>
          <t>01 Nov 2026</t>
        </is>
      </c>
      <c r="K4" s="8" t="inlineStr">
        <is>
          <t>07 Nov 2026</t>
        </is>
      </c>
      <c r="L4" s="8" t="inlineStr">
        <is>
          <t>Application starts: 20 Oct 2026
Last date: 2026-11-01
Fee last date: 01 Nov 2026
Exam: 07 Nov 2026</t>
        </is>
      </c>
      <c r="M4" s="8" t="inlineStr">
        <is>
          <t>General / OBC / EWS (male): ₹800
General / OBC / EWS (female): ₹600
SC / ST / PwBD: ₹200</t>
        </is>
      </c>
      <c r="N4" s="8" t="inlineStr">
        <is>
          <t>Debit/credit card, net banking, UPI</t>
        </is>
      </c>
      <c r="O4" s="8" t="inlineStr">
        <is>
          <t>20 years</t>
        </is>
      </c>
      <c r="P4" s="8" t="inlineStr">
        <is>
          <t>25 years</t>
        </is>
      </c>
      <c r="Q4" s="8" t="inlineStr">
        <is>
          <t>As on 01 Oct 2026</t>
        </is>
      </c>
      <c r="R4" s="8" t="inlineStr">
        <is>
          <t>Apprentice – 232</t>
        </is>
      </c>
      <c r="S4" s="8" t="inlineStr">
        <is>
          <t>Apprentice – Graduate in any stream</t>
        </is>
      </c>
      <c r="T4" s="8" t="n"/>
      <c r="U4" s="8" t="inlineStr">
        <is>
          <t>See official notification</t>
        </is>
      </c>
      <c r="V4" s="8" t="n"/>
      <c r="W4" s="8" t="inlineStr">
        <is>
          <t>Register on NATS: https://nats.education.gov.in/student_type.php
Notification (PDF): https://cdn.lichousing.com/2026/10/Apprentecis-Advertisement-Notification-Batch-10.pdf
LIC HFL careers: https://www.lichousing.com/careers</t>
        </is>
      </c>
      <c r="X4" s="11" t="n"/>
      <c r="Y4" s="11" t="n"/>
      <c r="Z4" s="11" t="n"/>
      <c r="AA4" s="8" t="inlineStr">
        <is>
          <t>No</t>
        </is>
      </c>
    </row>
    <row r="5" ht="105.6" customHeight="1">
      <c r="A5" s="8" t="n">
        <v>4</v>
      </c>
      <c r="B5" s="9" t="inlineStr">
        <is>
          <t>BPSC School Teacher TRE 4.0 Recruitment 2026</t>
        </is>
      </c>
      <c r="C5" s="8" t="inlineStr">
        <is>
          <t>Bihar Public Service Commission (BPSC)</t>
        </is>
      </c>
      <c r="D5" s="8" t="inlineStr">
        <is>
          <t>15/2026</t>
        </is>
      </c>
      <c r="E5" s="8" t="n">
        <v>33320</v>
      </c>
      <c r="F5" s="8" t="inlineStr">
        <is>
          <t>26 Oct 2026</t>
        </is>
      </c>
      <c r="G5" s="8" t="inlineStr">
        <is>
          <t>25 Sep 2026</t>
        </is>
      </c>
      <c r="H5" s="10" t="n">
        <v>46328</v>
      </c>
      <c r="I5" s="8">
        <f>IF(H5="","",IF(H5&lt;TODAY(),"Closed","Open"))</f>
        <v/>
      </c>
      <c r="J5" s="8" t="inlineStr">
        <is>
          <t>02 Nov 2026</t>
        </is>
      </c>
      <c r="K5" s="8" t="inlineStr">
        <is>
          <t>To be announced</t>
        </is>
      </c>
      <c r="L5" s="8" t="inlineStr">
        <is>
          <t>Application starts: 25 Sep 2026
Last date: 2026-11-02
Fee last date: 02 Nov 2026
Exam: To be announced</t>
        </is>
      </c>
      <c r="M5" s="8" t="inlineStr">
        <is>
          <t>All categories: ₹100</t>
        </is>
      </c>
      <c r="N5" s="8" t="inlineStr">
        <is>
          <t>Online</t>
        </is>
      </c>
      <c r="O5" s="8" t="inlineStr">
        <is>
          <t>18 years (21 for TGT/PGT)</t>
        </is>
      </c>
      <c r="P5" s="8" t="inlineStr">
        <is>
          <t>37 years (men), 40 years (women)</t>
        </is>
      </c>
      <c r="Q5" s="8" t="inlineStr">
        <is>
          <t>Relaxation as per Bihar rules</t>
        </is>
      </c>
      <c r="R5" s="8" t="inlineStr">
        <is>
          <t>Primary teacher (Class 1–5) – 3847
Middle school teacher (Class 6–8) – 8563
Secondary teacher (Class 9–10) – 4370
Senior secondary teacher (Class 11–12) – 16540</t>
        </is>
      </c>
      <c r="S5" s="8" t="inlineStr">
        <is>
          <t>Primary teacher (Class 1–5) – 12th + D.El.Ed/B.El.Ed + STET/CTET Paper I
Middle school teacher (Class 6–8) – Graduate + D.El.Ed/B.Ed + CTET/STET Paper II
Secondary teacher (Class 9–10) – Graduate/PG in subject + B.Ed + STET
Senior secondary teacher (Class 11–12) – PG in subject + B.Ed + STET</t>
        </is>
      </c>
      <c r="T5" s="8" t="inlineStr">
        <is>
          <t>See district-wise vacancy PDFs</t>
        </is>
      </c>
      <c r="U5" s="8" t="inlineStr">
        <is>
          <t>See official notification</t>
        </is>
      </c>
      <c r="V5" s="8" t="n"/>
      <c r="W5" s="8" t="inlineStr">
        <is>
          <t>Apply online (OTR login): https://bpsconline.bihar.gov.in/candidate/login
Detailed advertisement (PDF): https://bpsc.bihar.gov.in/wp-content/uploads/BPSC_content/Notices/Advertisement-152026-TRE-4.0_BPSC-20260922-dbsf04.pdf
BPSC official website: https://bpsc.bihar.gov.in/</t>
        </is>
      </c>
      <c r="X5" s="11" t="n"/>
      <c r="Y5" s="11" t="n"/>
      <c r="Z5" s="11" t="n"/>
      <c r="AA5" s="8" t="inlineStr">
        <is>
          <t>No</t>
        </is>
      </c>
    </row>
    <row r="6" ht="171.6" customHeight="1">
      <c r="A6" s="8" t="n">
        <v>5</v>
      </c>
      <c r="B6" s="9" t="inlineStr">
        <is>
          <t>DSSSB Delhi District Courts Various Post Recruitment 2026</t>
        </is>
      </c>
      <c r="C6" s="8" t="inlineStr">
        <is>
          <t>Delhi Subordinate Services Selection Board (DSSSB)</t>
        </is>
      </c>
      <c r="D6" s="8" t="inlineStr">
        <is>
          <t>04/2026</t>
        </is>
      </c>
      <c r="E6" s="8" t="n">
        <v>641</v>
      </c>
      <c r="F6" s="8" t="n"/>
      <c r="G6" s="8" t="inlineStr">
        <is>
          <t>06 October 2026</t>
        </is>
      </c>
      <c r="H6" s="10" t="n">
        <v>46330</v>
      </c>
      <c r="I6" s="8">
        <f>IF(H6="","",IF(H6&lt;TODAY(),"Closed","Open"))</f>
        <v/>
      </c>
      <c r="J6" s="8" t="n"/>
      <c r="K6" s="8" t="inlineStr">
        <is>
          <t>To be announced</t>
        </is>
      </c>
      <c r="L6" s="8" t="inlineStr">
        <is>
          <t>Apply online starts: 06 October 2026
Last date to apply: 04 November 2026
Exam date: To be announced</t>
        </is>
      </c>
      <c r="M6" s="8" t="inlineStr">
        <is>
          <t>General / OBC / EWS: ₹100
SC / ST / PwBD / Female: No fee</t>
        </is>
      </c>
      <c r="N6" s="8" t="n"/>
      <c r="O6" s="8" t="inlineStr">
        <is>
          <t>18 years</t>
        </is>
      </c>
      <c r="P6" s="8" t="inlineStr">
        <is>
          <t>27 years (as on 01 June 2026; varies by post)</t>
        </is>
      </c>
      <c r="Q6" s="8" t="n"/>
      <c r="R6" s="8" t="inlineStr">
        <is>
          <t>Personal Assistant (District Courts) – 189
Junior Judicial Assistant (District Courts) – 151
Peon / Orderly / Dak Peon (District Courts) – 139
Process Server (District Courts) – 91
Senior Personal Assistant (District Courts) – 27
Junior Judicial Assistant (Family Courts) – 23
Personal Assistant (Family Courts) – 17
Peon / Orderly (Family Courts) – 3
Process Server (Family Courts) – 1</t>
        </is>
      </c>
      <c r="S6" s="8" t="inlineStr">
        <is>
          <t>Senior PA / PA – Graduate + shorthand 110 wpm + typing 40 wpm
Junior Judicial Assistant – Graduate + computer typing 40 wpm
Process Server – 10th pass + LMV licence + 2 years driving
Peon / Orderly / Dak Peon – 10th pass</t>
        </is>
      </c>
      <c r="T6" s="8" t="n"/>
      <c r="U6" s="8" t="inlineStr">
        <is>
          <t>Pay: See official notification</t>
        </is>
      </c>
      <c r="V6" s="8" t="inlineStr">
        <is>
          <t>Written exam
Skill / typing test (where required)
Document verification</t>
        </is>
      </c>
      <c r="W6" s="8" t="inlineStr">
        <is>
          <t>Apply online: https://dsssbonline.nic.in/
DSSSB official website: https://dsssb.delhi.gov.in/</t>
        </is>
      </c>
      <c r="X6" s="11" t="n"/>
      <c r="Y6" s="11" t="n"/>
      <c r="Z6" s="11" t="n"/>
      <c r="AA6" s="8" t="inlineStr">
        <is>
          <t>No</t>
        </is>
      </c>
    </row>
    <row r="7" ht="66" customHeight="1">
      <c r="A7" s="8" t="n">
        <v>6</v>
      </c>
      <c r="B7" s="9" t="inlineStr">
        <is>
          <t>UPESSC UP Assistant Teacher (Primary) Recruitment 2026</t>
        </is>
      </c>
      <c r="C7" s="8" t="inlineStr">
        <is>
          <t>UP Education Service Selection Commission (UPESSC)</t>
        </is>
      </c>
      <c r="D7" s="8" t="inlineStr">
        <is>
          <t>05/2026</t>
        </is>
      </c>
      <c r="E7" s="8" t="n">
        <v>12405</v>
      </c>
      <c r="F7" s="8" t="inlineStr">
        <is>
          <t>28 Oct 2026</t>
        </is>
      </c>
      <c r="G7" s="8" t="inlineStr">
        <is>
          <t>16 Sep 2026</t>
        </is>
      </c>
      <c r="H7" s="10" t="n">
        <v>46330</v>
      </c>
      <c r="I7" s="8">
        <f>IF(H7="","",IF(H7&lt;TODAY(),"Closed","Open"))</f>
        <v/>
      </c>
      <c r="J7" s="8" t="inlineStr">
        <is>
          <t>04 Nov 2026</t>
        </is>
      </c>
      <c r="K7" s="8" t="inlineStr">
        <is>
          <t>03–04 Dec 2026</t>
        </is>
      </c>
      <c r="L7" s="8" t="inlineStr">
        <is>
          <t>Application starts: 16 Sep 2026
Last date: 2026-11-04
Fee last date: 04 Nov 2026
Exam: 03–04 Dec 2026</t>
        </is>
      </c>
      <c r="M7" s="8" t="inlineStr">
        <is>
          <t>General / OBC / EWS: ₹1,000
SC / ST: ₹500
PwBD: ₹300</t>
        </is>
      </c>
      <c r="N7" s="8" t="inlineStr">
        <is>
          <t>Debit/credit card, net banking, UPI</t>
        </is>
      </c>
      <c r="O7" s="8" t="inlineStr">
        <is>
          <t>21 years</t>
        </is>
      </c>
      <c r="P7" s="8" t="inlineStr">
        <is>
          <t>40 years</t>
        </is>
      </c>
      <c r="Q7" s="8" t="inlineStr">
        <is>
          <t>As on 01 Jul 2026</t>
        </is>
      </c>
      <c r="R7" s="8" t="inlineStr">
        <is>
          <t>Assistant Teacher – urban primary schools – 11508
Assistant Teacher – aided primary schools – 897</t>
        </is>
      </c>
      <c r="S7" s="8" t="inlineStr">
        <is>
          <t>Assistant Teacher – urban primary schools – Graduate + D.El.Ed/BTC or B.El.Ed
Assistant Teacher – aided primary schools – Graduate + D.El.Ed/BTC or B.El.Ed + Primary TET</t>
        </is>
      </c>
      <c r="T7" s="8" t="inlineStr">
        <is>
          <t>Urban: UR 4746 · OBC 3069 · EWS 1116 · SC 2379 · ST 198
Aided: UR 378 · OBC 164 · EWS 7 · SC 348</t>
        </is>
      </c>
      <c r="U7" s="8" t="inlineStr">
        <is>
          <t>See official notification</t>
        </is>
      </c>
      <c r="V7" s="8" t="n"/>
      <c r="W7" s="8" t="inlineStr">
        <is>
          <t>Registration: https://apply.upessc.org/register
Date-extension notice (PDF): https://upessc.up.gov.in/Notice/4b1f-907a-4508-5c3a-0c65.pdf
UPESSC official website: https://upessc.up.gov.in/</t>
        </is>
      </c>
      <c r="X7" s="11" t="n"/>
      <c r="Y7" s="11" t="n"/>
      <c r="Z7" s="11" t="n"/>
      <c r="AA7" s="8" t="inlineStr">
        <is>
          <t>No</t>
        </is>
      </c>
    </row>
    <row r="8" ht="158.4" customHeight="1">
      <c r="A8" s="8" t="n">
        <v>7</v>
      </c>
      <c r="B8" s="9" t="inlineStr">
        <is>
          <t>TNPSC Group IV (CCSE-IV) Recruitment 2026</t>
        </is>
      </c>
      <c r="C8" s="8" t="inlineStr">
        <is>
          <t>Tamil Nadu Public Service Commission (TNPSC)</t>
        </is>
      </c>
      <c r="D8" s="8" t="inlineStr">
        <is>
          <t>11/2026</t>
        </is>
      </c>
      <c r="E8" s="8" t="n">
        <v>6574</v>
      </c>
      <c r="F8" s="8" t="n"/>
      <c r="G8" s="8" t="inlineStr">
        <is>
          <t>06 October 2026</t>
        </is>
      </c>
      <c r="H8" s="10" t="n">
        <v>46331</v>
      </c>
      <c r="I8" s="8">
        <f>IF(H8="","",IF(H8&lt;TODAY(),"Closed","Open"))</f>
        <v/>
      </c>
      <c r="J8" s="8" t="n"/>
      <c r="K8" s="8" t="inlineStr">
        <is>
          <t>10 January 2027 (9:30 AM – 12:30 PM)</t>
        </is>
      </c>
      <c r="L8" s="8" t="inlineStr">
        <is>
          <t>Notification released: 06 October 2026
Apply online starts: 06 October 2026
Last date to apply: 05 November 2026
Correction window: 09 – 11 November 2026
Exam date: 10 January 2027 (9:30 AM – 12:30 PM)</t>
        </is>
      </c>
      <c r="M8" s="8" t="inlineStr">
        <is>
          <t>One-time registration: ₹150
Examination fee: ₹100 (exemptions as per rules)</t>
        </is>
      </c>
      <c r="N8" s="8" t="n"/>
      <c r="O8" s="8" t="inlineStr">
        <is>
          <t>18 years</t>
        </is>
      </c>
      <c r="P8" s="8" t="inlineStr">
        <is>
          <t>Varies by post — see notification</t>
        </is>
      </c>
      <c r="Q8" s="8" t="inlineStr">
        <is>
          <t>As per TN government rules</t>
        </is>
      </c>
      <c r="R8" s="8" t="inlineStr">
        <is>
          <t>Junior Assistant (Non-Security) – 2600 – 2610
Typist – 2200 – 856
Junior Assistant (Accounts) – 3848 – 422
Typist – 4200 – 377
Village Administrative Officer – 2025 – 291
Typist – 3844 – 260
Junior Assistant (Non-Security) – 4600 – 252
Steno-Typist Gr III – 2300 – 209
Steno-Typist Gr III – 4300 – 145
Other posts (see notification) – 1152</t>
        </is>
      </c>
      <c r="S8" s="8" t="inlineStr">
        <is>
          <t>Most posts (VAO, Junior Assistant, Bill Collector) – SSLC / 10th pass
Typist / Steno posts – 10th pass + Government Technical Exam in typewriting / shorthand
Some posts – Degree or specific technical qualification — check post code</t>
        </is>
      </c>
      <c r="T8" s="8" t="n"/>
      <c r="U8" s="8" t="inlineStr">
        <is>
          <t>Most posts: Level 8 / Level 10 (TN pay matrix) — varies by post</t>
        </is>
      </c>
      <c r="V8" s="8" t="inlineStr">
        <is>
          <t>Single OMR written exam
Certificate verification
Counselling</t>
        </is>
      </c>
      <c r="W8" s="8" t="inlineStr">
        <is>
          <t>Apply online: https://apply.tnpscexams.in/
TNPSC official website: https://tnpsc.gov.in/</t>
        </is>
      </c>
      <c r="X8" s="11" t="n"/>
      <c r="Y8" s="11" t="n"/>
      <c r="Z8" s="11" t="n"/>
      <c r="AA8" s="8" t="inlineStr">
        <is>
          <t>No</t>
        </is>
      </c>
    </row>
    <row r="9" ht="132" customHeight="1">
      <c r="A9" s="8" t="n">
        <v>8</v>
      </c>
      <c r="B9" s="9" t="inlineStr">
        <is>
          <t>RRB NTPC Graduate Level Recruitment 2026</t>
        </is>
      </c>
      <c r="C9" s="8" t="inlineStr">
        <is>
          <t>Railway Recruitment Board (RRB)</t>
        </is>
      </c>
      <c r="D9" s="8" t="inlineStr">
        <is>
          <t>CEN 06/2026</t>
        </is>
      </c>
      <c r="E9" s="8" t="n">
        <v>3477</v>
      </c>
      <c r="F9" s="8" t="n"/>
      <c r="G9" s="8" t="inlineStr">
        <is>
          <t>08 October 2026</t>
        </is>
      </c>
      <c r="H9" s="10" t="n">
        <v>46332</v>
      </c>
      <c r="I9" s="8">
        <f>IF(H9="","",IF(H9&lt;TODAY(),"Closed","Open"))</f>
        <v/>
      </c>
      <c r="J9" s="8" t="inlineStr">
        <is>
          <t>06 November 2026</t>
        </is>
      </c>
      <c r="K9" s="8" t="inlineStr">
        <is>
          <t>To be announced</t>
        </is>
      </c>
      <c r="L9" s="8" t="inlineStr">
        <is>
          <t>Notification released: 22 September 2026
Apply online starts: 08 October 2026
Last date to apply: 06 November 2026
Last date for fee payment: 06 November 2026
Exam date: To be announced</t>
        </is>
      </c>
      <c r="M9" s="8" t="inlineStr">
        <is>
          <t>General / OBC / EWS: ₹500 (₹400 refunded after CBT-1)
SC / ST / EBC / Female: ₹250 (refunded after CBT-1)</t>
        </is>
      </c>
      <c r="N9" s="8" t="n"/>
      <c r="O9" s="8" t="inlineStr">
        <is>
          <t>18 years</t>
        </is>
      </c>
      <c r="P9" s="8" t="inlineStr">
        <is>
          <t>33 years</t>
        </is>
      </c>
      <c r="Q9" s="8" t="inlineStr">
        <is>
          <t>As per Railway rules</t>
        </is>
      </c>
      <c r="R9" s="8" t="inlineStr">
        <is>
          <t>NTPC Graduate Level posts (all) – 3477</t>
        </is>
      </c>
      <c r="S9" s="8" t="inlineStr">
        <is>
          <t>Chief Commercial cum Ticket Supervisor – Graduate (any discipline)
Station Master – Graduate (any discipline)
Goods Train Manager – Graduate (any discipline)
Junior Accounts Assistant cum Typist – Graduate + computer typing in English or Hindi
Senior Clerk cum Typist – Graduate + computer typing in English or Hindi
Traffic Assistant – Graduate (any discipline)</t>
        </is>
      </c>
      <c r="T9" s="8" t="n"/>
      <c r="U9" s="8" t="inlineStr">
        <is>
          <t>Pay level: Level 5 and Level 6 (7th CPC)</t>
        </is>
      </c>
      <c r="V9" s="8" t="inlineStr">
        <is>
          <t>CBT-1
CBT-2
Typing / aptitude test (post-wise)
Document verification
Medical examination</t>
        </is>
      </c>
      <c r="W9" s="8" t="inlineStr">
        <is>
          <t>Apply online: https://www.rrbapply.gov.in/
Indian Railways official website: https://indianrailways.gov.in/</t>
        </is>
      </c>
      <c r="X9" s="11" t="n"/>
      <c r="Y9" s="11" t="n"/>
      <c r="Z9" s="11" t="n"/>
      <c r="AA9" s="8" t="inlineStr">
        <is>
          <t>No</t>
        </is>
      </c>
    </row>
    <row r="10" ht="66" customHeight="1">
      <c r="A10" s="8" t="n">
        <v>9</v>
      </c>
      <c r="B10" s="9" t="inlineStr">
        <is>
          <t>RRC NWR Act Apprentice Recruitment 2026</t>
        </is>
      </c>
      <c r="C10" s="8" t="inlineStr">
        <is>
          <t>RRC North Western Railway, Jaipur</t>
        </is>
      </c>
      <c r="D10" s="8" t="inlineStr">
        <is>
          <t>04/2026 (NWR/AA)</t>
        </is>
      </c>
      <c r="E10" s="8" t="n">
        <v>2008</v>
      </c>
      <c r="F10" s="8" t="n"/>
      <c r="G10" s="8" t="inlineStr">
        <is>
          <t>07 October 2026</t>
        </is>
      </c>
      <c r="H10" s="10" t="n">
        <v>46332</v>
      </c>
      <c r="I10" s="8">
        <f>IF(H10="","",IF(H10&lt;TODAY(),"Closed","Open"))</f>
        <v/>
      </c>
      <c r="J10" s="8" t="n"/>
      <c r="K10" s="8" t="n"/>
      <c r="L10" s="8" t="inlineStr">
        <is>
          <t>Notification released: 01 October 2026
Apply online starts: 07 October 2026
Last date to apply: 06 November 2026</t>
        </is>
      </c>
      <c r="M10" s="8" t="inlineStr">
        <is>
          <t>General / OBC / EWS: ₹100
SC / ST / PwBD / Women: No fee</t>
        </is>
      </c>
      <c r="N10" s="8" t="n"/>
      <c r="O10" s="8" t="inlineStr">
        <is>
          <t>15 years</t>
        </is>
      </c>
      <c r="P10" s="8" t="inlineStr">
        <is>
          <t>24 years</t>
        </is>
      </c>
      <c r="Q10" s="8" t="inlineStr">
        <is>
          <t>As per Railway rules</t>
        </is>
      </c>
      <c r="R10" s="8" t="inlineStr">
        <is>
          <t>General – 845
OBC – 543
EWS – 182
SC – 295
ST – 143</t>
        </is>
      </c>
      <c r="S10" s="8" t="inlineStr">
        <is>
          <t>All trades – 10th pass with at least 50% marks + ITI in the relevant trade</t>
        </is>
      </c>
      <c r="T10" s="8" t="n"/>
      <c r="U10" s="8" t="inlineStr">
        <is>
          <t>Stipend: As per Railway Board / Apprentices Act rules</t>
        </is>
      </c>
      <c r="V10" s="8" t="inlineStr">
        <is>
          <t>Merit list (no written exam)
Document verification</t>
        </is>
      </c>
      <c r="W10" s="8" t="inlineStr">
        <is>
          <t>Official notification (PDF): https://rrcjaipur.in/storeWebFiles/1005_12061494.PDF
RRC Jaipur official website / apply: https://www.rrcjaipur.in/</t>
        </is>
      </c>
      <c r="X10" s="11" t="n"/>
      <c r="Y10" s="11" t="n"/>
      <c r="Z10" s="11" t="n"/>
      <c r="AA10" s="8" t="inlineStr">
        <is>
          <t>No</t>
        </is>
      </c>
    </row>
    <row r="11" ht="105.6" customHeight="1">
      <c r="A11" s="8" t="n">
        <v>10</v>
      </c>
      <c r="B11" s="9" t="inlineStr">
        <is>
          <t>NLC Apprentice Recruitment 2026</t>
        </is>
      </c>
      <c r="C11" s="8" t="inlineStr">
        <is>
          <t>NLC India Limited</t>
        </is>
      </c>
      <c r="D11" s="8" t="inlineStr">
        <is>
          <t>L&amp;DC/04/2026</t>
        </is>
      </c>
      <c r="E11" s="8" t="n">
        <v>1067</v>
      </c>
      <c r="F11" s="8" t="n"/>
      <c r="G11" s="8" t="inlineStr">
        <is>
          <t>21 October 2026</t>
        </is>
      </c>
      <c r="H11" s="10" t="n">
        <v>46335</v>
      </c>
      <c r="I11" s="8">
        <f>IF(H11="","",IF(H11&lt;TODAY(),"Closed","Open"))</f>
        <v/>
      </c>
      <c r="J11" s="8" t="n"/>
      <c r="K11" s="8" t="n"/>
      <c r="L11" s="8" t="inlineStr">
        <is>
          <t>Notification released: 21 October 2026
Apply online starts: 21 October 2026
Last date to apply: 09 November 2026 (5 PM)
Selection list (trade): 23 November 2026 (tentative)
Selection list (graduate): 25 November 2026 (tentative)</t>
        </is>
      </c>
      <c r="M11" s="8" t="inlineStr">
        <is>
          <t>Application fee: Not mentioned in notification</t>
        </is>
      </c>
      <c r="N11" s="8" t="n"/>
      <c r="O11" s="8" t="inlineStr">
        <is>
          <t>18 years</t>
        </is>
      </c>
      <c r="P11" s="8" t="n"/>
      <c r="Q11" s="8" t="inlineStr">
        <is>
          <t>As per rules</t>
        </is>
      </c>
      <c r="R11" s="8" t="inlineStr">
        <is>
          <t>ITI Trade Apprentice (10 trades) – 700
Graduate (Non-Engg) Apprentice – 367</t>
        </is>
      </c>
      <c r="S11" s="8" t="inlineStr">
        <is>
          <t>Trade apprentice – ITI in the relevant trade
Graduate apprentice – Regular B.Com / BBA / B.Sc / BCA / B.Pharm / B.Sc Nursing passed 2022–2026</t>
        </is>
      </c>
      <c r="T11" s="8" t="n"/>
      <c r="U11" s="8" t="inlineStr">
        <is>
          <t>Stipend: ₹12,000 – ₹16,678 per month (12 months training)</t>
        </is>
      </c>
      <c r="V11" s="8" t="inlineStr">
        <is>
          <t>Merit based on marks in the qualifying exam</t>
        </is>
      </c>
      <c r="W11" s="8" t="inlineStr">
        <is>
          <t>Apply online: https://web.nlcindia.in/ldcappexiti/
Official notification: https://www.nlcindia.in/nlcilapi/cmp/static/downloadfile/93369
NLC India official website: https://www.nlcindia.in/</t>
        </is>
      </c>
      <c r="X11" s="11" t="n"/>
      <c r="Y11" s="11" t="n"/>
      <c r="Z11" s="11" t="n"/>
      <c r="AA11" s="8" t="inlineStr">
        <is>
          <t>No</t>
        </is>
      </c>
    </row>
    <row r="12" ht="92.40000000000001" customHeight="1">
      <c r="A12" s="8" t="n">
        <v>11</v>
      </c>
      <c r="B12" s="9" t="inlineStr">
        <is>
          <t>GSSSB Food Safety Officer Recruitment 2026</t>
        </is>
      </c>
      <c r="C12" s="8" t="inlineStr">
        <is>
          <t>Gujarat Subordinate Services Selection Board (GSSSB)</t>
        </is>
      </c>
      <c r="D12" s="8" t="inlineStr">
        <is>
          <t>465/202627</t>
        </is>
      </c>
      <c r="E12" s="8" t="n">
        <v>84</v>
      </c>
      <c r="F12" s="8" t="n"/>
      <c r="G12" s="8" t="inlineStr">
        <is>
          <t>27 October 2026</t>
        </is>
      </c>
      <c r="H12" s="10" t="n">
        <v>46336</v>
      </c>
      <c r="I12" s="8">
        <f>IF(H12="","",IF(H12&lt;TODAY(),"Closed","Open"))</f>
        <v/>
      </c>
      <c r="J12" s="8" t="n"/>
      <c r="K12" s="8" t="inlineStr">
        <is>
          <t>To be announced</t>
        </is>
      </c>
      <c r="L12" s="8" t="inlineStr">
        <is>
          <t>Notification released: 27 October 2026
Apply online starts: 27 October 2026
Last date to apply: 10 November 2026
Exam date: To be announced</t>
        </is>
      </c>
      <c r="M12" s="8" t="inlineStr">
        <is>
          <t>Unreserved: ₹500
Reserved categories: ₹400</t>
        </is>
      </c>
      <c r="N12" s="8" t="n"/>
      <c r="O12" s="8" t="inlineStr">
        <is>
          <t>18 years</t>
        </is>
      </c>
      <c r="P12" s="8" t="inlineStr">
        <is>
          <t>37 years</t>
        </is>
      </c>
      <c r="Q12" s="8" t="inlineStr">
        <is>
          <t>As per Gujarat government rules</t>
        </is>
      </c>
      <c r="R12" s="8" t="inlineStr">
        <is>
          <t>Unreserved – 40
EWS – 8
SEBC – 19
SC – 7
ST – 10</t>
        </is>
      </c>
      <c r="S12" s="8" t="inlineStr">
        <is>
          <t>Food Safety Officer (Class 3) – M.Sc Chemistry, or graduate in Food Tech / Dairy Tech / Biotech / Oil Tech / Agriculture / Veterinary / Biochemistry / Microbiology / Medicine
Also required – Basic computer knowledge + Gujarati and/or Hindi</t>
        </is>
      </c>
      <c r="T12" s="8" t="n"/>
      <c r="U12" s="8" t="inlineStr">
        <is>
          <t>First 5 years: Fixed ₹40,800 per month
After 5 years: Level 5 — ₹29,200 – ₹92,300</t>
        </is>
      </c>
      <c r="V12" s="8" t="inlineStr">
        <is>
          <t>MCQ exam (CBRT / OMR)
Document verification
Merit list</t>
        </is>
      </c>
      <c r="W12" s="8" t="inlineStr">
        <is>
          <t>Apply online (OJAS): https://ojas.gujarat.gov.in/
GSSSB official website: https://gsssb.gujarat.gov.in/</t>
        </is>
      </c>
      <c r="X12" s="11" t="n"/>
      <c r="Y12" s="11" t="n"/>
      <c r="Z12" s="11" t="n"/>
      <c r="AA12" s="8" t="inlineStr">
        <is>
          <t>No</t>
        </is>
      </c>
    </row>
    <row r="13" ht="66" customHeight="1">
      <c r="A13" s="8" t="n">
        <v>12</v>
      </c>
      <c r="B13" s="9" t="inlineStr">
        <is>
          <t>Indian Army 10+2 Technical Entry Scheme (TES-57) 2026</t>
        </is>
      </c>
      <c r="C13" s="8" t="inlineStr">
        <is>
          <t>Indian Army</t>
        </is>
      </c>
      <c r="D13" s="8" t="inlineStr">
        <is>
          <t>TES-57, July 2027 batch</t>
        </is>
      </c>
      <c r="E13" s="8" t="n">
        <v>90</v>
      </c>
      <c r="F13" s="8" t="n"/>
      <c r="G13" s="8" t="inlineStr">
        <is>
          <t>14 October 2026</t>
        </is>
      </c>
      <c r="H13" s="10" t="n">
        <v>46338</v>
      </c>
      <c r="I13" s="8">
        <f>IF(H13="","",IF(H13&lt;TODAY(),"Closed","Open"))</f>
        <v/>
      </c>
      <c r="J13" s="8" t="n"/>
      <c r="K13" s="8" t="n"/>
      <c r="L13" s="8" t="inlineStr">
        <is>
          <t>Apply online starts: 14 October 2026
Last date to apply: 12 November 2026
SSB interview: As per Army schedule</t>
        </is>
      </c>
      <c r="M13" s="8" t="inlineStr">
        <is>
          <t>All candidates: No fee</t>
        </is>
      </c>
      <c r="N13" s="8" t="n"/>
      <c r="O13" s="8" t="inlineStr">
        <is>
          <t>16 years 6 months</t>
        </is>
      </c>
      <c r="P13" s="8" t="inlineStr">
        <is>
          <t>19 years 6 months (as on 01 July 2027)</t>
        </is>
      </c>
      <c r="Q13" s="8" t="inlineStr">
        <is>
          <t>Between 02 Jan 2008 and 01 Jan 2011 (check notice)</t>
        </is>
      </c>
      <c r="R13" s="8" t="inlineStr">
        <is>
          <t>TES-57 (men) – 90</t>
        </is>
      </c>
      <c r="S13" s="8" t="inlineStr">
        <is>
          <t>TES-57 – 12th with PCM, minimum 60% aggregate + JEE Main 2026 appeared</t>
        </is>
      </c>
      <c r="T13" s="8" t="n"/>
      <c r="U13" s="8" t="inlineStr">
        <is>
          <t>During training: Stipend as per Army rules; commissioned as Lieutenant after training</t>
        </is>
      </c>
      <c r="V13" s="8" t="inlineStr">
        <is>
          <t>Shortlisting on JEE Main score
SSB interview
Medical examination
Merit list</t>
        </is>
      </c>
      <c r="W13" s="8" t="inlineStr">
        <is>
          <t>Apply online: https://joinindianarmy.nic.in/Authentication.aspx
Join Indian Army official website: https://joinindianarmy.nic.in/</t>
        </is>
      </c>
      <c r="X13" s="11" t="n"/>
      <c r="Y13" s="11" t="n"/>
      <c r="Z13" s="11" t="n"/>
      <c r="AA13" s="8" t="inlineStr">
        <is>
          <t>No</t>
        </is>
      </c>
    </row>
    <row r="14" ht="145.2" customHeight="1">
      <c r="A14" s="8" t="n">
        <v>13</v>
      </c>
      <c r="B14" s="9" t="inlineStr">
        <is>
          <t>ISRO URSC Technician-B &amp; Driver Recruitment 2026</t>
        </is>
      </c>
      <c r="C14" s="8" t="inlineStr">
        <is>
          <t>ISRO U R Rao Satellite Centre (URSC)</t>
        </is>
      </c>
      <c r="D14" s="8" t="inlineStr">
        <is>
          <t>URSC:04:2026</t>
        </is>
      </c>
      <c r="E14" s="8" t="n">
        <v>61</v>
      </c>
      <c r="F14" s="8" t="n"/>
      <c r="G14" s="8" t="inlineStr">
        <is>
          <t>24 October 2026</t>
        </is>
      </c>
      <c r="H14" s="10" t="n">
        <v>46339</v>
      </c>
      <c r="I14" s="8">
        <f>IF(H14="","",IF(H14&lt;TODAY(),"Closed","Open"))</f>
        <v/>
      </c>
      <c r="J14" s="8" t="n"/>
      <c r="K14" s="8" t="inlineStr">
        <is>
          <t>To be announced</t>
        </is>
      </c>
      <c r="L14" s="8" t="inlineStr">
        <is>
          <t>Notification released: 24 October 2026
Apply online starts: 24 October 2026
Last date to apply: 13 November 2026
Exam date: To be announced</t>
        </is>
      </c>
      <c r="M14" s="8" t="inlineStr">
        <is>
          <t>All candidates (pay first): ₹500
Refund – General / OBC / EWS: ₹400 after appearing in written test
Refund – Women / SC / ST / PwBD / ESM: Full ₹500 after appearing in written test</t>
        </is>
      </c>
      <c r="N14" s="8" t="n"/>
      <c r="O14" s="8" t="inlineStr">
        <is>
          <t>18 years</t>
        </is>
      </c>
      <c r="P14" s="8" t="inlineStr">
        <is>
          <t>35 years</t>
        </is>
      </c>
      <c r="Q14" s="8" t="inlineStr">
        <is>
          <t>As per government rules</t>
        </is>
      </c>
      <c r="R14" s="8" t="inlineStr">
        <is>
          <t>Technician-B Electronics Mechanic – 24
Technician-B Fitter – 8
Technician-B Electrician – 4
Technician-B Refrigeration &amp; AC – 5
Technician-B Turner – 1
Technician-B Machinist – 2
Technician-B Motor Vehicle Mechanic – 1
Technician-B Electroplater – 1
Light Vehicle Driver-A – 3
Staff Car Driver-A – 2
Heavy Vehicle Driver-A – 10</t>
        </is>
      </c>
      <c r="S14" s="8" t="inlineStr">
        <is>
          <t>Technician-B – 10th pass + ITI/NTC/NAC (NCVT) in the trade
Light Vehicle / Staff Car Driver-A – 10th pass + LMV licence + 3 years driving experience
Heavy Vehicle Driver-A – 10th pass + HMV licence + 5 years driving (3 on heavy vehicles) + PSV badge where required</t>
        </is>
      </c>
      <c r="T14" s="8" t="n"/>
      <c r="U14" s="8" t="inlineStr">
        <is>
          <t>Technician-B: Level 3 — basic pay ₹21,700
Drivers (LVD-A, Staff Car, HVD-A): Level 2 — basic pay ₹19,900</t>
        </is>
      </c>
      <c r="V14" s="8" t="inlineStr">
        <is>
          <t>Screening
Written test
Skill / driving test (qualifying)
Document verification</t>
        </is>
      </c>
      <c r="W14" s="8" t="inlineStr">
        <is>
          <t>Official notification (PDF): https://www.isro.gov.in/media_isro/pdf/recruitmentNotice/2026/Oct/URSClAdvt2410_24102026.pdf
ISRO official website: https://www.isro.gov.in/</t>
        </is>
      </c>
      <c r="X14" s="11" t="n"/>
      <c r="Y14" s="11" t="n"/>
      <c r="Z14" s="11" t="n"/>
      <c r="AA14" s="8" t="inlineStr">
        <is>
          <t>No</t>
        </is>
      </c>
    </row>
    <row r="15" ht="118.8" customHeight="1">
      <c r="A15" s="8" t="n">
        <v>14</v>
      </c>
      <c r="B15" s="9" t="inlineStr">
        <is>
          <t>RRB NTPC 10+2 Under Graduate Level Recruitment 2026</t>
        </is>
      </c>
      <c r="C15" s="8" t="inlineStr">
        <is>
          <t>Railway Recruitment Board (RRB)</t>
        </is>
      </c>
      <c r="D15" s="8" t="inlineStr">
        <is>
          <t>CEN 07/2026</t>
        </is>
      </c>
      <c r="E15" s="8" t="n">
        <v>1688</v>
      </c>
      <c r="F15" s="8" t="n"/>
      <c r="G15" s="8" t="inlineStr">
        <is>
          <t>15 October 2026</t>
        </is>
      </c>
      <c r="H15" s="10" t="n">
        <v>46341</v>
      </c>
      <c r="I15" s="8">
        <f>IF(H15="","",IF(H15&lt;TODAY(),"Closed","Open"))</f>
        <v/>
      </c>
      <c r="J15" s="8" t="inlineStr">
        <is>
          <t>15 November 2026</t>
        </is>
      </c>
      <c r="K15" s="8" t="inlineStr">
        <is>
          <t>To be announced</t>
        </is>
      </c>
      <c r="L15" s="8" t="inlineStr">
        <is>
          <t>Notification released: 22 September 2026
Apply online starts: 15 October 2026
Last date to apply: 15 November 2026
Last date for fee payment: 15 November 2026
Exam date: To be announced</t>
        </is>
      </c>
      <c r="M15" s="8" t="inlineStr">
        <is>
          <t>General / OBC / EWS: ₹500 (₹400 refunded after CBT-1)
SC / ST / EBC / Female: ₹250 (refunded after CBT-1)</t>
        </is>
      </c>
      <c r="N15" s="8" t="n"/>
      <c r="O15" s="8" t="inlineStr">
        <is>
          <t>18 years</t>
        </is>
      </c>
      <c r="P15" s="8" t="inlineStr">
        <is>
          <t>30 years</t>
        </is>
      </c>
      <c r="Q15" s="8" t="inlineStr">
        <is>
          <t>As per Railway rules</t>
        </is>
      </c>
      <c r="R15" s="8" t="inlineStr">
        <is>
          <t>Commercial cum Ticket Clerk, Train Clerk, Accounts Clerk cum Typist, Junior Clerk cum Typist – 1688</t>
        </is>
      </c>
      <c r="S15" s="8" t="inlineStr">
        <is>
          <t>Commercial cum Ticket Clerk – 12th pass — 50% marks (Gen/OBC/EWS), pass for SC/ST/PwBD
Train Clerk – 12th pass — 50% marks (Gen/OBC/EWS), pass for SC/ST/PwBD
Accounts Clerk cum Typist – 12th pass + typing 30 wpm English or 25 wpm Hindi
Junior Clerk cum Typist – 12th pass + typing 30 wpm English or 25 wpm Hindi</t>
        </is>
      </c>
      <c r="T15" s="8" t="n"/>
      <c r="U15" s="8" t="inlineStr">
        <is>
          <t>Pay level: Level 2 and Level 3 (7th CPC)</t>
        </is>
      </c>
      <c r="V15" s="8" t="inlineStr">
        <is>
          <t>CBT-1
CBT-2
Typing test (where required)
Document verification
Medical examination</t>
        </is>
      </c>
      <c r="W15" s="8" t="inlineStr">
        <is>
          <t>Apply online: https://www.rrbapply.gov.in/
Indian Railways official website: https://indianrailways.gov.in/</t>
        </is>
      </c>
      <c r="X15" s="11" t="n"/>
      <c r="Y15" s="11" t="n"/>
      <c r="Z15" s="11" t="n"/>
      <c r="AA15" s="8" t="inlineStr">
        <is>
          <t>No</t>
        </is>
      </c>
    </row>
    <row r="16" ht="158.4" customHeight="1">
      <c r="A16" s="8" t="n">
        <v>15</v>
      </c>
      <c r="B16" s="9" t="inlineStr">
        <is>
          <t>CWC Assistant Manager &amp; Junior Executive Recruitment 2026</t>
        </is>
      </c>
      <c r="C16" s="8" t="inlineStr">
        <is>
          <t>Central Warehousing Corporation (CWC)</t>
        </is>
      </c>
      <c r="D16" s="8" t="inlineStr">
        <is>
          <t>CWC/I-Manpower/DR/Rectt/2026/01</t>
        </is>
      </c>
      <c r="E16" s="8" t="n">
        <v>327</v>
      </c>
      <c r="F16" s="8" t="n"/>
      <c r="G16" s="8" t="inlineStr">
        <is>
          <t>17 October 2026</t>
        </is>
      </c>
      <c r="H16" s="10" t="n">
        <v>46341</v>
      </c>
      <c r="I16" s="8">
        <f>IF(H16="","",IF(H16&lt;TODAY(),"Closed","Open"))</f>
        <v/>
      </c>
      <c r="J16" s="8" t="n"/>
      <c r="K16" s="8" t="inlineStr">
        <is>
          <t>To be announced</t>
        </is>
      </c>
      <c r="L16" s="8" t="inlineStr">
        <is>
          <t>Apply online starts: 17 October 2026
Last date to apply: 15 November 2026
Exam date: To be announced</t>
        </is>
      </c>
      <c r="M16" s="8" t="inlineStr">
        <is>
          <t>General / OBC / EWS: ₹1,350
SC / ST / PwBD / Female: ₹500</t>
        </is>
      </c>
      <c r="N16" s="8" t="n"/>
      <c r="O16" s="8" t="inlineStr">
        <is>
          <t>18 years</t>
        </is>
      </c>
      <c r="P16" s="8" t="inlineStr">
        <is>
          <t>28 years (as on 15 November 2026)</t>
        </is>
      </c>
      <c r="Q16" s="8" t="n"/>
      <c r="R16" s="8" t="inlineStr">
        <is>
          <t>Junior Executive (General) – 78
Junior Executive (Technical) – 78
Assistant Manager (General) – 70
Assistant Manager (Technical) – 68
Assistant Manager (Civil) – 22
Assistant Manager (Finance) – 10
Assistant Manager (Electrical) – 5
Assistant Manager (Mechanical) – 4</t>
        </is>
      </c>
      <c r="S16" s="8" t="inlineStr">
        <is>
          <t>AM (General) – 2-year PG degree / PG diploma
AM (Technical) – B.Tech in Agriculture / Food Tech / Biotech
AM (Finance) – B.Com + 3 yrs experience, or CA/CMA Inter
AM (Engineering) – B.E./B.Tech in Civil / Electrical / Mechanical
JE (General) – Graduate + computer knowledge
JE (Technical) – B.Sc in Agriculture / life sciences / Chemistry + computer knowledge</t>
        </is>
      </c>
      <c r="T16" s="8" t="n"/>
      <c r="U16" s="8" t="inlineStr">
        <is>
          <t>Pay: See official notification</t>
        </is>
      </c>
      <c r="V16" s="8" t="inlineStr">
        <is>
          <t>Online exam
Document verification</t>
        </is>
      </c>
      <c r="W16" s="8" t="inlineStr">
        <is>
          <t>Official notification (PDF): https://cwceportal.com/Careers/Guidelines/45/45_Detailed%20Advertisement_7109fe46-7e18-4b68-84a5-8b6d6708e571.pdf
CWC careers (official website): https://cwceportal.com/careers</t>
        </is>
      </c>
      <c r="X16" s="11" t="n"/>
      <c r="Y16" s="11" t="n"/>
      <c r="Z16" s="11" t="n"/>
      <c r="AA16" s="8" t="inlineStr">
        <is>
          <t>No</t>
        </is>
      </c>
    </row>
    <row r="17" ht="52.8" customHeight="1">
      <c r="A17" s="8" t="n">
        <v>16</v>
      </c>
      <c r="B17" s="9" t="inlineStr">
        <is>
          <t>Supreme Court Court Master (Shorthand) Recruitment 2026</t>
        </is>
      </c>
      <c r="C17" s="8" t="inlineStr">
        <is>
          <t>Supreme Court of India</t>
        </is>
      </c>
      <c r="D17" s="8" t="inlineStr">
        <is>
          <t>SCI Court Master 2026</t>
        </is>
      </c>
      <c r="E17" s="8" t="n">
        <v>20</v>
      </c>
      <c r="F17" s="8" t="n"/>
      <c r="G17" s="8" t="inlineStr">
        <is>
          <t>25 October 2026</t>
        </is>
      </c>
      <c r="H17" s="10" t="n">
        <v>46341</v>
      </c>
      <c r="I17" s="8">
        <f>IF(H17="","",IF(H17&lt;TODAY(),"Closed","Open"))</f>
        <v/>
      </c>
      <c r="J17" s="8" t="n"/>
      <c r="K17" s="8" t="inlineStr">
        <is>
          <t>To be announced</t>
        </is>
      </c>
      <c r="L17" s="8" t="inlineStr">
        <is>
          <t>Apply online starts: 25 October 2026
Last date to apply: 15 November 2026
Exam date: To be announced</t>
        </is>
      </c>
      <c r="M17" s="8" t="inlineStr">
        <is>
          <t>General: ₹1,500
OBC / SC / ST / PwBD: ₹750</t>
        </is>
      </c>
      <c r="N17" s="8" t="n"/>
      <c r="O17" s="8" t="inlineStr">
        <is>
          <t>30 years</t>
        </is>
      </c>
      <c r="P17" s="8" t="inlineStr">
        <is>
          <t>45 years (as on 01 October 2026)</t>
        </is>
      </c>
      <c r="Q17" s="8" t="n"/>
      <c r="R17" s="8" t="inlineStr">
        <is>
          <t>Court Master (Shorthand) – 20</t>
        </is>
      </c>
      <c r="S17" s="8" t="inlineStr">
        <is>
          <t>Court Master – Graduate + English shorthand 120 wpm + typing 40 wpm + 5 years experience</t>
        </is>
      </c>
      <c r="T17" s="8" t="n"/>
      <c r="U17" s="8" t="inlineStr">
        <is>
          <t>Pay: See official notification</t>
        </is>
      </c>
      <c r="V17" s="8" t="inlineStr">
        <is>
          <t>Written / skill test
Interview as per notice</t>
        </is>
      </c>
      <c r="W17" s="8" t="inlineStr">
        <is>
          <t>Official notification (PDF): https://cdnbbsr.s3waas.gov.in/s3ec0490f1f4972d133619a60c30f3559e/uploads/2026/10/2026101664.pdf
Supreme Court official website: https://www.sci.gov.in/</t>
        </is>
      </c>
      <c r="X17" s="11" t="n"/>
      <c r="Y17" s="11" t="n"/>
      <c r="Z17" s="11" t="n"/>
      <c r="AA17" s="8" t="inlineStr">
        <is>
          <t>No</t>
        </is>
      </c>
    </row>
    <row r="18" ht="92.40000000000001" customHeight="1">
      <c r="A18" s="8" t="n">
        <v>17</v>
      </c>
      <c r="B18" s="9" t="inlineStr">
        <is>
          <t>BEL Probationary Engineer Recruitment 2026</t>
        </is>
      </c>
      <c r="C18" s="8" t="inlineStr">
        <is>
          <t>Bharat Electronics Limited (BEL)</t>
        </is>
      </c>
      <c r="D18" s="8" t="inlineStr">
        <is>
          <t>17556/HR/All-India/2026</t>
        </is>
      </c>
      <c r="E18" s="8" t="n">
        <v>350</v>
      </c>
      <c r="F18" s="8" t="n"/>
      <c r="G18" s="8" t="inlineStr">
        <is>
          <t>28 October 2026</t>
        </is>
      </c>
      <c r="H18" s="10" t="n">
        <v>46344</v>
      </c>
      <c r="I18" s="8">
        <f>IF(H18="","",IF(H18&lt;TODAY(),"Closed","Open"))</f>
        <v/>
      </c>
      <c r="J18" s="8" t="n"/>
      <c r="K18" s="8" t="inlineStr">
        <is>
          <t>22 December 2026</t>
        </is>
      </c>
      <c r="L18" s="8" t="inlineStr">
        <is>
          <t>Notification released: 28 October 2026
Apply online starts: 28 October 2026
Last date to apply: 18 November 2026
Tentative CBT date: 22 December 2026</t>
        </is>
      </c>
      <c r="M18" s="8" t="inlineStr">
        <is>
          <t>General / EWS / OBC (NCL): ₹1,180 (incl. GST)
SC / ST / PwBD / Ex-Servicemen: No fee</t>
        </is>
      </c>
      <c r="N18" s="8" t="n"/>
      <c r="O18" s="8" t="n"/>
      <c r="P18" s="8" t="inlineStr">
        <is>
          <t>25 years</t>
        </is>
      </c>
      <c r="Q18" s="8" t="inlineStr">
        <is>
          <t>As per government rules</t>
        </is>
      </c>
      <c r="R18" s="8" t="inlineStr">
        <is>
          <t>Probationary Engineer (Electronics) – 200
Probationary Engineer (Mechanical) – 150</t>
        </is>
      </c>
      <c r="S18" s="8" t="inlineStr">
        <is>
          <t>PE (Electronics) – BE/B.Tech/B.Sc Engg (4 yr) in Electronics, ECE, E&amp;T, Communication or Telecom
PE (Mechanical) – BE/B.Tech/B.Sc Engg (4 yr) in Mechanical
Minimum class – First class for Gen/OBC/EWS; pass class for SC/ST/PwBD</t>
        </is>
      </c>
      <c r="T18" s="8" t="n"/>
      <c r="U18" s="8" t="inlineStr">
        <is>
          <t>Pay scale: ₹40,000 – ₹1,40,000</t>
        </is>
      </c>
      <c r="V18" s="8" t="inlineStr">
        <is>
          <t>Computer based test — 85% weight (125 questions, 2 hours, 0.25 negative marking)
Interview — 15% weight</t>
        </is>
      </c>
      <c r="W18" s="8" t="inlineStr">
        <is>
          <t>Official notification (PDF): https://bel-india.in/wp-content/uploads/2026/10/External-Ad-2026-English-1.pdf
BEL official website (apply link under Careers): https://bel-india.in/</t>
        </is>
      </c>
      <c r="X18" s="11" t="n"/>
      <c r="Y18" s="11" t="n"/>
      <c r="Z18" s="11" t="n"/>
      <c r="AA18" s="8" t="inlineStr">
        <is>
          <t>No</t>
        </is>
      </c>
    </row>
    <row r="19" ht="158.4" customHeight="1">
      <c r="A19" s="8" t="n">
        <v>18</v>
      </c>
      <c r="B19" s="9" t="inlineStr">
        <is>
          <t>NPCIL Apprentice Recruitment 2026</t>
        </is>
      </c>
      <c r="C19" s="8" t="inlineStr">
        <is>
          <t>NPCIL Narora Atomic Power Station</t>
        </is>
      </c>
      <c r="D19" s="8" t="inlineStr">
        <is>
          <t>NAPS/HRM/APPRENTICE/02/2026</t>
        </is>
      </c>
      <c r="E19" s="8" t="n">
        <v>80</v>
      </c>
      <c r="F19" s="8" t="n"/>
      <c r="G19" s="8" t="inlineStr">
        <is>
          <t>29 October 2026</t>
        </is>
      </c>
      <c r="H19" s="10" t="n">
        <v>46344</v>
      </c>
      <c r="I19" s="8">
        <f>IF(H19="","",IF(H19&lt;TODAY(),"Closed","Open"))</f>
        <v/>
      </c>
      <c r="J19" s="8" t="n"/>
      <c r="K19" s="8" t="n"/>
      <c r="L19" s="8" t="inlineStr">
        <is>
          <t>Notification released: 27 October 2026
Apply online starts: 29 October 2026
Last date to apply: 18 November 2026</t>
        </is>
      </c>
      <c r="M19" s="8" t="inlineStr">
        <is>
          <t>Application fee: See official notification</t>
        </is>
      </c>
      <c r="N19" s="8" t="n"/>
      <c r="O19" s="8" t="inlineStr">
        <is>
          <t>18 years</t>
        </is>
      </c>
      <c r="P19" s="8" t="inlineStr">
        <is>
          <t>24 / 25 / 26 years (depends on apprentice type)</t>
        </is>
      </c>
      <c r="Q19" s="8" t="inlineStr">
        <is>
          <t>18 November 2026</t>
        </is>
      </c>
      <c r="R19" s="8" t="inlineStr">
        <is>
          <t>Trade – Electrician – 25
Trade – Fitter – 16
Trade – Electronics Mechanic – 9
Diploma – Mechanical – 5
Diploma – Electrical – 3
Diploma – Electronics – 2
Diploma – Civil – 6
Graduate – Mechanical – 4
Graduate – Electrical – 3
Graduate – Human Resource – 3
Graduate – Finance &amp; Accounts – 2
Graduate – Contract &amp; Material Mgmt – 2</t>
        </is>
      </c>
      <c r="S19" s="8" t="inlineStr">
        <is>
          <t>Trade apprentice – ITI in the relevant trade
Diploma apprentice – Engineering diploma in the relevant branch
Graduate apprentice (Engg) – B.E./B.Tech in the relevant branch
Graduate apprentice (Non-Engg) – BBA / BA / B.Sc / B.Com as per discipline
Passing year – Qualifying exam passed within 5 years of 18 Nov 2026</t>
        </is>
      </c>
      <c r="T19" s="8" t="n"/>
      <c r="U19" s="8" t="inlineStr">
        <is>
          <t>Trade apprentice (ITI): ₹10,560 – ₹11,040 per month
Diploma apprentice: ₹10,900 per month
Graduate apprentice: ₹12,300 per month</t>
        </is>
      </c>
      <c r="V19" s="8" t="inlineStr">
        <is>
          <t>Merit list based on marks in the qualifying exam</t>
        </is>
      </c>
      <c r="W19" s="8" t="inlineStr">
        <is>
          <t>NPCIL official website: https://www.npcil.nic.in/
Trade apprentice registration (apprenticeshipindia): https://www.apprenticeshipindia.gov.in/
Diploma / Graduate registration (NATS): https://www.nats.education.gov.in/</t>
        </is>
      </c>
      <c r="X19" s="11" t="n"/>
      <c r="Y19" s="11" t="n"/>
      <c r="Z19" s="11" t="n"/>
      <c r="AA19" s="8" t="inlineStr">
        <is>
          <t>No</t>
        </is>
      </c>
    </row>
    <row r="20" ht="92.40000000000001" customHeight="1">
      <c r="A20" s="8" t="n">
        <v>19</v>
      </c>
      <c r="B20" s="9" t="inlineStr">
        <is>
          <t>BHEL Artisan Grade-IV Recruitment 2026</t>
        </is>
      </c>
      <c r="C20" s="8" t="inlineStr">
        <is>
          <t>Bharat Heavy Electricals Limited (BHEL)</t>
        </is>
      </c>
      <c r="D20" s="8" t="inlineStr">
        <is>
          <t>01/2026</t>
        </is>
      </c>
      <c r="E20" s="8" t="n">
        <v>660</v>
      </c>
      <c r="F20" s="8" t="n"/>
      <c r="G20" s="8" t="inlineStr">
        <is>
          <t>21 October 2026</t>
        </is>
      </c>
      <c r="H20" s="10" t="n">
        <v>46344</v>
      </c>
      <c r="I20" s="8">
        <f>IF(H20="","",IF(H20&lt;TODAY(),"Closed","Open"))</f>
        <v/>
      </c>
      <c r="J20" s="8" t="n"/>
      <c r="K20" s="8" t="inlineStr">
        <is>
          <t>11 December 2026</t>
        </is>
      </c>
      <c r="L20" s="8" t="inlineStr">
        <is>
          <t>Apply online starts: 21 October 2026
Last date to apply: 18 November 2026
Exam date: 11 December 2026</t>
        </is>
      </c>
      <c r="M20" s="8" t="inlineStr">
        <is>
          <t>General / OBC / EWS: ₹1,072 (incl. processing fee + GST)
SC / ST / PwBD / Ex-Servicemen: ₹472</t>
        </is>
      </c>
      <c r="N20" s="8" t="n"/>
      <c r="O20" s="8" t="n"/>
      <c r="P20" s="8" t="inlineStr">
        <is>
          <t>27 years (as on 01 October 2026)</t>
        </is>
      </c>
      <c r="Q20" s="8" t="inlineStr">
        <is>
          <t>As per BHEL rules</t>
        </is>
      </c>
      <c r="R20" s="8" t="inlineStr">
        <is>
          <t>Fitter – 278
Welder – 104
Machinist – 101
Electrician – 90
Turner – 52
Electronics Mechanic – 23
Foundryman – 12</t>
        </is>
      </c>
      <c r="S20" s="8" t="inlineStr">
        <is>
          <t>All trades – 10th pass + ITI in the trade — 60% marks (Gen/OBC), 55% (SC/ST)</t>
        </is>
      </c>
      <c r="T20" s="8" t="n"/>
      <c r="U20" s="8" t="inlineStr">
        <is>
          <t>Pay: See official notification</t>
        </is>
      </c>
      <c r="V20" s="8" t="inlineStr">
        <is>
          <t>Computer based test
Skill test / document verification as per notice</t>
        </is>
      </c>
      <c r="W20" s="8" t="inlineStr">
        <is>
          <t>Official notification (PDF): https://careers.bhel.in/ar_2027/Artisan_Detailed%20AD.pdf
BHEL careers (official website): https://careers.bhel.in/index.jsp</t>
        </is>
      </c>
      <c r="X20" s="11" t="n"/>
      <c r="Y20" s="11" t="n"/>
      <c r="Z20" s="11" t="n"/>
      <c r="AA20" s="8" t="inlineStr">
        <is>
          <t>No</t>
        </is>
      </c>
    </row>
    <row r="21" ht="118.8" customHeight="1">
      <c r="A21" s="8" t="n">
        <v>20</v>
      </c>
      <c r="B21" s="9" t="inlineStr">
        <is>
          <t>Dr RMLIMS Lucknow Non-Teaching Group B &amp; C Recruitment 2026</t>
        </is>
      </c>
      <c r="C21" s="8" t="inlineStr">
        <is>
          <t>Dr. Ram Manohar Lohia Institute of Medical Sciences, Lucknow</t>
        </is>
      </c>
      <c r="D21" s="8" t="inlineStr">
        <is>
          <t>78-83/Estb.-2/Rectt./Dr.RMLIMS/2026</t>
        </is>
      </c>
      <c r="E21" s="8" t="n">
        <v>74</v>
      </c>
      <c r="F21" s="8" t="inlineStr">
        <is>
          <t>29 Oct 2026</t>
        </is>
      </c>
      <c r="G21" s="8" t="inlineStr">
        <is>
          <t>19 Oct 2026</t>
        </is>
      </c>
      <c r="H21" s="10" t="n">
        <v>46346</v>
      </c>
      <c r="I21" s="8">
        <f>IF(H21="","",IF(H21&lt;TODAY(),"Closed","Open"))</f>
        <v/>
      </c>
      <c r="J21" s="8" t="inlineStr">
        <is>
          <t>20 Nov 2026</t>
        </is>
      </c>
      <c r="K21" s="8" t="inlineStr">
        <is>
          <t>To be announced</t>
        </is>
      </c>
      <c r="L21" s="8" t="inlineStr">
        <is>
          <t>Application starts: 19 Oct 2026
Last date: 2026-11-20
Fee last date: 20 Nov 2026
Exam: To be announced</t>
        </is>
      </c>
      <c r="M21" s="8" t="inlineStr">
        <is>
          <t>General / OBC / EWS: ₹1,180 (incl. GST)
SC / ST: ₹708 (incl. GST)
PwBD: No fee</t>
        </is>
      </c>
      <c r="N21" s="8" t="inlineStr">
        <is>
          <t>Online</t>
        </is>
      </c>
      <c r="O21" s="8" t="inlineStr">
        <is>
          <t>18 years</t>
        </is>
      </c>
      <c r="P21" s="8" t="inlineStr">
        <is>
          <t>40 years</t>
        </is>
      </c>
      <c r="Q21" s="8" t="n"/>
      <c r="R21" s="8" t="inlineStr">
        <is>
          <t>Hospital Attendant Gr-II – 32
Stenographer – 30
Receptionist – 8
Programmer – 2
Medical Physicist – 1
Radiation Safety Officer – 1</t>
        </is>
      </c>
      <c r="S21" s="8" t="inlineStr">
        <is>
          <t>Hospital Attendant Gr-II – 10th pass
Stenographer – Graduate with 55% + shorthand &amp; typing test
Receptionist – Graduate + PG diploma in journalism / PR
Programmer – B.E./B.Tech CS or MCA
Medical Physicist – M.Sc Physics / radiological physics + internship
Radiation Safety Officer – See notification</t>
        </is>
      </c>
      <c r="T21" s="8" t="inlineStr">
        <is>
          <t>UR 32 · OBC 19 · EWS 7 · SC 15 · ST 1</t>
        </is>
      </c>
      <c r="U21" s="8" t="inlineStr">
        <is>
          <t>See official notification</t>
        </is>
      </c>
      <c r="V21" s="8" t="n"/>
      <c r="W21" s="8" t="inlineStr">
        <is>
          <t>Recruitment page: https://www.drrmlims.ac.in/recruitment
Application notice (PDF): https://www.drrmlims.ac.in/Assets/pages/recruitment/Notice_807_Online_application_window_Advt_78_83_2026.pdf</t>
        </is>
      </c>
      <c r="X21" s="11" t="n"/>
      <c r="Y21" s="11" t="n"/>
      <c r="Z21" s="11" t="n"/>
      <c r="AA21" s="8" t="inlineStr">
        <is>
          <t>No</t>
        </is>
      </c>
    </row>
    <row r="22" ht="66" customHeight="1">
      <c r="A22" s="8" t="n">
        <v>21</v>
      </c>
      <c r="B22" s="9" t="inlineStr">
        <is>
          <t>JRHMS Community Health Officer Recruitment 2026</t>
        </is>
      </c>
      <c r="C22" s="8" t="inlineStr">
        <is>
          <t>Jharkhand Rural Health Mission Society (JRHMS)</t>
        </is>
      </c>
      <c r="D22" s="8" t="inlineStr">
        <is>
          <t>05/2026/JRHM-CHO-Integrated</t>
        </is>
      </c>
      <c r="E22" s="8" t="n">
        <v>1038</v>
      </c>
      <c r="F22" s="8" t="n"/>
      <c r="G22" s="8" t="inlineStr">
        <is>
          <t>31 October 2026</t>
        </is>
      </c>
      <c r="H22" s="10" t="n">
        <v>46348</v>
      </c>
      <c r="I22" s="8">
        <f>IF(H22="","",IF(H22&lt;TODAY(),"Closed","Open"))</f>
        <v/>
      </c>
      <c r="J22" s="8" t="n"/>
      <c r="K22" s="8" t="inlineStr">
        <is>
          <t>To be announced</t>
        </is>
      </c>
      <c r="L22" s="8" t="inlineStr">
        <is>
          <t>Notification released: 28 October 2026
Apply online starts: 31 October 2026
Last date to apply: 22 November 2026
Exam date: To be announced</t>
        </is>
      </c>
      <c r="M22" s="8" t="inlineStr">
        <is>
          <t>Application fee: None (exam fee, if any, as per notice)</t>
        </is>
      </c>
      <c r="N22" s="8" t="n"/>
      <c r="O22" s="8" t="n"/>
      <c r="P22" s="8" t="inlineStr">
        <is>
          <t>35 years</t>
        </is>
      </c>
      <c r="Q22" s="8" t="inlineStr">
        <is>
          <t>As per Jharkhand government rules</t>
        </is>
      </c>
      <c r="R22" s="8" t="inlineStr">
        <is>
          <t>Community Health Officer – 1038</t>
        </is>
      </c>
      <c r="S22" s="8" t="inlineStr">
        <is>
          <t>Community Health Officer – B.Sc Nursing / Post Basic B.Sc Nursing with integrated CPCH (2016–2020 batch onwards)</t>
        </is>
      </c>
      <c r="T22" s="8" t="n"/>
      <c r="U22" s="8" t="inlineStr">
        <is>
          <t>Monthly pay: ₹25,000 + performance incentive up to ₹15,000</t>
        </is>
      </c>
      <c r="V22" s="8" t="inlineStr">
        <is>
          <t>Online application
Eligibility and document verification
Selection as per NHM guidelines</t>
        </is>
      </c>
      <c r="W22" s="8" t="inlineStr">
        <is>
          <t>Official notification (PDF): https://jrhms.jharkhand.gov.in/uploads/reports/a06bf5c1-c60c-49f8-b1dd-d18759428df7.pdf
JRHMS official website / apply: https://jrhms.jharkhand.gov.in/</t>
        </is>
      </c>
      <c r="X22" s="11" t="n"/>
      <c r="Y22" s="11" t="n"/>
      <c r="Z22" s="11" t="n"/>
      <c r="AA22" s="8" t="inlineStr">
        <is>
          <t>No</t>
        </is>
      </c>
    </row>
    <row r="23" ht="52.8" customHeight="1">
      <c r="A23" s="8" t="n">
        <v>22</v>
      </c>
      <c r="B23" s="9" t="inlineStr">
        <is>
          <t>UPESSC UP Headmaster Recruitment 2026</t>
        </is>
      </c>
      <c r="C23" s="8" t="inlineStr">
        <is>
          <t>UP Education Service Selection Commission (UPESSC)</t>
        </is>
      </c>
      <c r="D23" s="8" t="inlineStr">
        <is>
          <t>09/2026</t>
        </is>
      </c>
      <c r="E23" s="8" t="n">
        <v>1172</v>
      </c>
      <c r="F23" s="8" t="inlineStr">
        <is>
          <t>23 Oct 2026</t>
        </is>
      </c>
      <c r="G23" s="8" t="inlineStr">
        <is>
          <t>23 Oct 2026</t>
        </is>
      </c>
      <c r="H23" s="10" t="n">
        <v>46348</v>
      </c>
      <c r="I23" s="8">
        <f>IF(H23="","",IF(H23&lt;TODAY(),"Closed","Open"))</f>
        <v/>
      </c>
      <c r="J23" s="8" t="inlineStr">
        <is>
          <t>22 Nov 2026</t>
        </is>
      </c>
      <c r="K23" s="8" t="inlineStr">
        <is>
          <t>07 Jan 2027</t>
        </is>
      </c>
      <c r="L23" s="8" t="inlineStr">
        <is>
          <t>Application starts: 23 Oct 2026
Last date: 2026-11-22
Fee last date: 22 Nov 2026
Exam: 07 Jan 2027</t>
        </is>
      </c>
      <c r="M23" s="8" t="inlineStr">
        <is>
          <t>All categories: ₹1,500</t>
        </is>
      </c>
      <c r="N23" s="8" t="inlineStr">
        <is>
          <t>Debit/credit card, net banking, UPI</t>
        </is>
      </c>
      <c r="O23" s="8" t="inlineStr">
        <is>
          <t>30 years</t>
        </is>
      </c>
      <c r="P23" s="8" t="inlineStr">
        <is>
          <t>62 years</t>
        </is>
      </c>
      <c r="Q23" s="8" t="inlineStr">
        <is>
          <t>As on 01 Jul 2026</t>
        </is>
      </c>
      <c r="R23" s="8" t="inlineStr">
        <is>
          <t>Headmaster (boys’ schools) – 1037
Headmaster (girls’ schools) – 135</t>
        </is>
      </c>
      <c r="S23" s="8" t="inlineStr">
        <is>
          <t>Headmaster (boys’ schools) – Master’s with 50% + B.Ed/B.P.Ed + 4 years teaching
Headmaster (girls’ schools) – Same as above (see notification)</t>
        </is>
      </c>
      <c r="T23" s="8" t="n"/>
      <c r="U23" s="8" t="inlineStr">
        <is>
          <t>See official notification</t>
        </is>
      </c>
      <c r="V23" s="8" t="n"/>
      <c r="W23" s="8" t="inlineStr">
        <is>
          <t>Apply online: https://apply.upessc.org/
UPESSC official website: https://upessc.up.gov.in/</t>
        </is>
      </c>
      <c r="X23" s="11" t="n"/>
      <c r="Y23" s="11" t="n"/>
      <c r="Z23" s="11" t="n"/>
      <c r="AA23" s="8" t="inlineStr">
        <is>
          <t>No</t>
        </is>
      </c>
    </row>
    <row r="24" ht="52.8" customHeight="1">
      <c r="A24" s="8" t="n">
        <v>23</v>
      </c>
      <c r="B24" s="9" t="inlineStr">
        <is>
          <t>UPESSC UP Principal (Inter College) Recruitment 2026</t>
        </is>
      </c>
      <c r="C24" s="8" t="inlineStr">
        <is>
          <t>UP Education Service Selection Commission (UPESSC)</t>
        </is>
      </c>
      <c r="D24" s="8" t="inlineStr">
        <is>
          <t>08/2026</t>
        </is>
      </c>
      <c r="E24" s="8" t="n">
        <v>1475</v>
      </c>
      <c r="F24" s="8" t="inlineStr">
        <is>
          <t>23 Oct 2026</t>
        </is>
      </c>
      <c r="G24" s="8" t="inlineStr">
        <is>
          <t>23 Oct 2026</t>
        </is>
      </c>
      <c r="H24" s="10" t="n">
        <v>46348</v>
      </c>
      <c r="I24" s="8">
        <f>IF(H24="","",IF(H24&lt;TODAY(),"Closed","Open"))</f>
        <v/>
      </c>
      <c r="J24" s="8" t="inlineStr">
        <is>
          <t>22 Nov 2026</t>
        </is>
      </c>
      <c r="K24" s="8" t="inlineStr">
        <is>
          <t>07 Jan 2027</t>
        </is>
      </c>
      <c r="L24" s="8" t="inlineStr">
        <is>
          <t>Application starts: 23 Oct 2026
Last date: 2026-11-22
Fee last date: 22 Nov 2026
Exam: 07 Jan 2027</t>
        </is>
      </c>
      <c r="M24" s="8" t="inlineStr">
        <is>
          <t>All categories: ₹2,000</t>
        </is>
      </c>
      <c r="N24" s="8" t="inlineStr">
        <is>
          <t>Debit/credit card, net banking, UPI</t>
        </is>
      </c>
      <c r="O24" s="8" t="inlineStr">
        <is>
          <t>30 years</t>
        </is>
      </c>
      <c r="P24" s="8" t="inlineStr">
        <is>
          <t>62 years</t>
        </is>
      </c>
      <c r="Q24" s="8" t="inlineStr">
        <is>
          <t>As on 01 Jul 2026</t>
        </is>
      </c>
      <c r="R24" s="8" t="inlineStr">
        <is>
          <t>Principal (boys’ inter colleges) – 1318
Principal (girls’ inter colleges) – 157</t>
        </is>
      </c>
      <c r="S24" s="8" t="inlineStr">
        <is>
          <t>Principal (boys’ inter colleges) – Master’s with 50% + B.Ed + 4 years experience
Principal (girls’ inter colleges) – See notification</t>
        </is>
      </c>
      <c r="T24" s="8" t="n"/>
      <c r="U24" s="8" t="inlineStr">
        <is>
          <t>See official notification</t>
        </is>
      </c>
      <c r="V24" s="8" t="n"/>
      <c r="W24" s="8" t="inlineStr">
        <is>
          <t>Apply online: https://apply.upessc.org/
UPESSC official website: https://upessc.up.gov.in/</t>
        </is>
      </c>
      <c r="X24" s="11" t="n"/>
      <c r="Y24" s="11" t="n"/>
      <c r="Z24" s="11" t="n"/>
      <c r="AA24" s="8" t="inlineStr">
        <is>
          <t>No</t>
        </is>
      </c>
    </row>
    <row r="25" ht="171.6" customHeight="1">
      <c r="A25" s="8" t="n">
        <v>24</v>
      </c>
      <c r="B25" s="9" t="inlineStr">
        <is>
          <t>UPESSC UP TGT Teacher Recruitment 2026</t>
        </is>
      </c>
      <c r="C25" s="8" t="inlineStr">
        <is>
          <t>UP Education Service Selection Commission (UPESSC)</t>
        </is>
      </c>
      <c r="D25" s="8" t="inlineStr">
        <is>
          <t>07/2026</t>
        </is>
      </c>
      <c r="E25" s="8" t="n">
        <v>17735</v>
      </c>
      <c r="F25" s="8" t="n"/>
      <c r="G25" s="8" t="inlineStr">
        <is>
          <t>24 October 2026</t>
        </is>
      </c>
      <c r="H25" s="10" t="n">
        <v>46349</v>
      </c>
      <c r="I25" s="8">
        <f>IF(H25="","",IF(H25&lt;TODAY(),"Closed","Open"))</f>
        <v/>
      </c>
      <c r="J25" s="8" t="n"/>
      <c r="K25" s="8" t="inlineStr">
        <is>
          <t>23 – 24 December 2026</t>
        </is>
      </c>
      <c r="L25" s="8" t="inlineStr">
        <is>
          <t>Apply online starts: 24 October 2026
Last date to apply: 23 November 2026
Correction last date: 26 November 2026
Exam date: 23 – 24 December 2026</t>
        </is>
      </c>
      <c r="M25" s="8" t="inlineStr">
        <is>
          <t>General / OBC / EWS: ₹1,000
SC / ST: ₹500
PwBD: ₹300</t>
        </is>
      </c>
      <c r="N25" s="8" t="n"/>
      <c r="O25" s="8" t="inlineStr">
        <is>
          <t>21 years</t>
        </is>
      </c>
      <c r="P25" s="8" t="inlineStr">
        <is>
          <t>62 years (as on 01 July 2026)</t>
        </is>
      </c>
      <c r="Q25" s="8" t="n"/>
      <c r="R25" s="8" t="inlineStr">
        <is>
          <t>Hindi – 2791
English – 2517
Science – 2493
Social Science – 2482
Mathematics – 2349
Sanskrit – 1289
Physical Education – 849
Home Science – 798
Drawing – 775
Biology – 660
Agriculture – 248
Commerce – 134
Other subjects (see notification) – 1350</t>
        </is>
      </c>
      <c r="S25" s="8" t="inlineStr">
        <is>
          <t>TGT (all subjects) – Graduate in the related subject + B.Ed; UP TET (Class 6–8) as per notification</t>
        </is>
      </c>
      <c r="T25" s="8" t="n"/>
      <c r="U25" s="8" t="inlineStr">
        <is>
          <t>Pay: As per UP government TGT pay scale</t>
        </is>
      </c>
      <c r="V25" s="8" t="inlineStr">
        <is>
          <t>Written examination
Answer key and result
Document verification</t>
        </is>
      </c>
      <c r="W25" s="8" t="inlineStr">
        <is>
          <t>UPESSC official website / apply: https://upessc.up.gov.in/</t>
        </is>
      </c>
      <c r="X25" s="11" t="n"/>
      <c r="Y25" s="11" t="n"/>
      <c r="Z25" s="11" t="n"/>
      <c r="AA25" s="8" t="inlineStr">
        <is>
          <t>No</t>
        </is>
      </c>
    </row>
    <row r="26" ht="145.2" customHeight="1">
      <c r="A26" s="8" t="n">
        <v>25</v>
      </c>
      <c r="B26" s="9" t="inlineStr">
        <is>
          <t>RRB Station Master Recruitment 2026</t>
        </is>
      </c>
      <c r="C26" s="8" t="inlineStr">
        <is>
          <t>Railway Recruitment Board (RRB)</t>
        </is>
      </c>
      <c r="D26" s="8" t="inlineStr">
        <is>
          <t>CEN 08/2026</t>
        </is>
      </c>
      <c r="E26" s="8" t="n">
        <v>1265</v>
      </c>
      <c r="F26" s="8" t="n"/>
      <c r="G26" s="8" t="inlineStr">
        <is>
          <t>27 October 2026</t>
        </is>
      </c>
      <c r="H26" s="10" t="n">
        <v>46351</v>
      </c>
      <c r="I26" s="8">
        <f>IF(H26="","",IF(H26&lt;TODAY(),"Closed","Open"))</f>
        <v/>
      </c>
      <c r="J26" s="8" t="inlineStr">
        <is>
          <t>27 November 2026</t>
        </is>
      </c>
      <c r="K26" s="8" t="inlineStr">
        <is>
          <t>To be announced</t>
        </is>
      </c>
      <c r="L26" s="8" t="inlineStr">
        <is>
          <t>Apply online starts: 27 October 2026
Last date to apply: 25 November 2026
Last date for fee payment: 27 November 2026
Correction window: 28 November – 07 December 2026
Exam date: To be announced</t>
        </is>
      </c>
      <c r="M26" s="8" t="inlineStr">
        <is>
          <t>General / OBC / EWS: ₹500 (₹400 refunded after Stage I)
SC / ST / PwBD / Female: ₹250 (refunded after Stage I)</t>
        </is>
      </c>
      <c r="N26" s="8" t="n"/>
      <c r="O26" s="8" t="inlineStr">
        <is>
          <t>20 years</t>
        </is>
      </c>
      <c r="P26" s="8" t="inlineStr">
        <is>
          <t>33 years (as on 01 July 2027)</t>
        </is>
      </c>
      <c r="Q26" s="8" t="inlineStr">
        <is>
          <t>As per Railway rules</t>
        </is>
      </c>
      <c r="R26" s="8" t="inlineStr">
        <is>
          <t>RRB Mumbai (CR) – 125
RRB Jammu-Srinagar (NR) – 122
RRB Chennai (SR) – 119
RRB Thiruvananthapuram (SR) – 114
RRB Prayagraj (NCR) – 104
RRB Bengaluru (SWR) – 102
RRB Secunderabad (SCoR) – 65
RRB Bilaspur (SECR) – 52
RRB Ajmer (NWR) – 49
RRB Bhopal (WCR) – 49
Other RRBs (see notification) – 364</t>
        </is>
      </c>
      <c r="S26" s="8" t="inlineStr">
        <is>
          <t>Station Master – Graduate in any stream</t>
        </is>
      </c>
      <c r="T26" s="8" t="n"/>
      <c r="U26" s="8" t="inlineStr">
        <is>
          <t>Pay: As per 7th CPC — see notification</t>
        </is>
      </c>
      <c r="V26" s="8" t="inlineStr">
        <is>
          <t>CBT Stage I
CBT Stage II
Aptitude test
Document verification
Medical examination</t>
        </is>
      </c>
      <c r="W26" s="8" t="inlineStr">
        <is>
          <t>Apply online: https://www.rrbapply.gov.in/
RRB official website: https://rrb.indianrailways.gov.in/</t>
        </is>
      </c>
      <c r="X26" s="11" t="n"/>
      <c r="Y26" s="11" t="n"/>
      <c r="Z26" s="11" t="n"/>
      <c r="AA26" s="8" t="inlineStr">
        <is>
          <t>No</t>
        </is>
      </c>
    </row>
    <row r="27" ht="52.8" customHeight="1">
      <c r="A27" s="8" t="n">
        <v>26</v>
      </c>
      <c r="B27" s="9" t="inlineStr">
        <is>
          <t>Supreme Court Junior Court Attendant Recruitment 2026</t>
        </is>
      </c>
      <c r="C27" s="8" t="inlineStr">
        <is>
          <t>Supreme Court of India</t>
        </is>
      </c>
      <c r="D27" s="8" t="n"/>
      <c r="E27" s="8" t="n">
        <v>130</v>
      </c>
      <c r="F27" s="8" t="inlineStr">
        <is>
          <t>15 Oct 2026</t>
        </is>
      </c>
      <c r="G27" s="8" t="inlineStr">
        <is>
          <t>04 Nov 2026</t>
        </is>
      </c>
      <c r="H27" s="10" t="n">
        <v>46351</v>
      </c>
      <c r="I27" s="8">
        <f>IF(H27="","",IF(H27&lt;TODAY(),"Closed","Open"))</f>
        <v/>
      </c>
      <c r="J27" s="8" t="inlineStr">
        <is>
          <t>25 Nov 2026</t>
        </is>
      </c>
      <c r="K27" s="8" t="inlineStr">
        <is>
          <t>To be announced</t>
        </is>
      </c>
      <c r="L27" s="8" t="inlineStr">
        <is>
          <t>Application starts: 04 Nov 2026
Last date: 2026-11-25
Fee last date: 25 Nov 2026
Exam: To be announced</t>
        </is>
      </c>
      <c r="M27" s="8" t="inlineStr">
        <is>
          <t>General: ₹1,500
OBC / SC / ST / PwBD: ₹750</t>
        </is>
      </c>
      <c r="N27" s="8" t="inlineStr">
        <is>
          <t>Online only</t>
        </is>
      </c>
      <c r="O27" s="8" t="inlineStr">
        <is>
          <t>18 years</t>
        </is>
      </c>
      <c r="P27" s="8" t="inlineStr">
        <is>
          <t>27 years</t>
        </is>
      </c>
      <c r="Q27" s="8" t="inlineStr">
        <is>
          <t>As on 01 Oct 2026</t>
        </is>
      </c>
      <c r="R27" s="8" t="inlineStr">
        <is>
          <t>Junior Court Attendant (Group C) – 130</t>
        </is>
      </c>
      <c r="S27" s="8" t="inlineStr">
        <is>
          <t>Junior Court Attendant (Group C) – 10th pass</t>
        </is>
      </c>
      <c r="T27" s="8" t="n"/>
      <c r="U27" s="8" t="inlineStr">
        <is>
          <t>See official notification</t>
        </is>
      </c>
      <c r="V27" s="8" t="n"/>
      <c r="W27" s="8" t="inlineStr">
        <is>
          <t>Notification (PDF): https://cdnbbsr.s3waas.gov.in/s3ec0490f1f4972d133619a60c30f3559e/uploads/2026/10/2026101560.pdf
Supreme Court official website: https://www.sci.gov.in/</t>
        </is>
      </c>
      <c r="X27" s="11" t="n"/>
      <c r="Y27" s="11" t="n"/>
      <c r="Z27" s="11" t="n"/>
      <c r="AA27" s="8" t="inlineStr">
        <is>
          <t>No</t>
        </is>
      </c>
    </row>
    <row r="28" ht="132" customHeight="1">
      <c r="A28" s="8" t="n">
        <v>27</v>
      </c>
      <c r="B28" s="9" t="inlineStr">
        <is>
          <t>OPSC Scientific Officer Recruitment 2026</t>
        </is>
      </c>
      <c r="C28" s="8" t="inlineStr">
        <is>
          <t>Odisha Public Service Commission (OPSC)</t>
        </is>
      </c>
      <c r="D28" s="8" t="inlineStr">
        <is>
          <t>Advt No. 14 of 2026-27</t>
        </is>
      </c>
      <c r="E28" s="8" t="n">
        <v>89</v>
      </c>
      <c r="F28" s="8" t="n"/>
      <c r="G28" s="8" t="inlineStr">
        <is>
          <t>06 November 2026</t>
        </is>
      </c>
      <c r="H28" s="10" t="n">
        <v>46352</v>
      </c>
      <c r="I28" s="8">
        <f>IF(H28="","",IF(H28&lt;TODAY(),"Closed","Open"))</f>
        <v/>
      </c>
      <c r="J28" s="8" t="n"/>
      <c r="K28" s="8" t="inlineStr">
        <is>
          <t>To be announced</t>
        </is>
      </c>
      <c r="L28" s="8" t="inlineStr">
        <is>
          <t>Notification released: 28 October 2026
Apply online starts: 06 November 2026
Last date to apply: 26 November 2026
Exam date: To be announced</t>
        </is>
      </c>
      <c r="M28" s="8" t="inlineStr">
        <is>
          <t>General / others: ₹700
SC / ST / PwD: See notification</t>
        </is>
      </c>
      <c r="N28" s="8" t="n"/>
      <c r="O28" s="8" t="inlineStr">
        <is>
          <t>21 years</t>
        </is>
      </c>
      <c r="P28" s="8" t="inlineStr">
        <is>
          <t>42 years</t>
        </is>
      </c>
      <c r="Q28" s="8" t="inlineStr">
        <is>
          <t>As per Odisha government rules</t>
        </is>
      </c>
      <c r="R28" s="8" t="inlineStr">
        <is>
          <t>Physics – 7
Ballistics – 6
Chemistry – 10
Toxicology – 13
Biology – 14
Serology – 4
DNA – 12
Forensic Psychology – 6
Cyber Forensic – 11
Document – 6</t>
        </is>
      </c>
      <c r="S28" s="8" t="inlineStr">
        <is>
          <t>All divisions – Master’s degree in the relevant subject + ability to read, write and speak Odia</t>
        </is>
      </c>
      <c r="T28" s="8" t="n"/>
      <c r="U28" s="8" t="inlineStr">
        <is>
          <t>Pay: Level 10, Cell 1 — ₹44,900</t>
        </is>
      </c>
      <c r="V28" s="8" t="inlineStr">
        <is>
          <t>Paper I — 100 marks (English, GK, reasoning)
Paper II — 300 marks (subject)
Viva voce — 50 marks
Negative marking: 25% per wrong answer</t>
        </is>
      </c>
      <c r="W28" s="8" t="inlineStr">
        <is>
          <t>OPSC official website / apply: https://www.opsc.gov.in/</t>
        </is>
      </c>
      <c r="X28" s="11" t="n"/>
      <c r="Y28" s="11" t="n"/>
      <c r="Z28" s="11" t="n"/>
      <c r="AA28" s="8" t="inlineStr">
        <is>
          <t>No</t>
        </is>
      </c>
    </row>
    <row r="29" ht="132" customHeight="1">
      <c r="A29" s="8" t="n">
        <v>28</v>
      </c>
      <c r="B29" s="9" t="inlineStr">
        <is>
          <t>UPPSC RO / ARO Recruitment 2026</t>
        </is>
      </c>
      <c r="C29" s="8" t="inlineStr">
        <is>
          <t>Uttar Pradesh Public Service Commission (UPPSC)</t>
        </is>
      </c>
      <c r="D29" s="8" t="inlineStr">
        <is>
          <t>RO/ARO 2026</t>
        </is>
      </c>
      <c r="E29" s="8" t="n">
        <v>501</v>
      </c>
      <c r="F29" s="8" t="n"/>
      <c r="G29" s="8" t="inlineStr">
        <is>
          <t>26 October 2026</t>
        </is>
      </c>
      <c r="H29" s="10" t="n">
        <v>46352</v>
      </c>
      <c r="I29" s="8">
        <f>IF(H29="","",IF(H29&lt;TODAY(),"Closed","Open"))</f>
        <v/>
      </c>
      <c r="J29" s="8" t="n"/>
      <c r="K29" s="8" t="inlineStr">
        <is>
          <t>To be announced</t>
        </is>
      </c>
      <c r="L29" s="8" t="inlineStr">
        <is>
          <t>Apply online starts: 26 October 2026
Last date to apply: 26 November 2026
Correction date: 03 December 2026
Exam date: To be announced</t>
        </is>
      </c>
      <c r="M29" s="8" t="inlineStr">
        <is>
          <t>General / OBC / EWS: ₹125
SC / ST: ₹65
PwBD: ₹25</t>
        </is>
      </c>
      <c r="N29" s="8" t="n"/>
      <c r="O29" s="8" t="inlineStr">
        <is>
          <t>21 years</t>
        </is>
      </c>
      <c r="P29" s="8" t="inlineStr">
        <is>
          <t>40 years (as on 01 July 2026)</t>
        </is>
      </c>
      <c r="Q29" s="8" t="n"/>
      <c r="R29" s="8" t="inlineStr">
        <is>
          <t>Assistant Review Officer, UP Secretariat – 261
Review Officer, UP Secretariat – 122
Assistant Review Officer, Advocate General Office – 45
Review Officer (Accounts), UP Secretariat – 31
Assistant Review Officer, UPPSC – 21
Other RO / ARO posts – See notification (total 501)</t>
        </is>
      </c>
      <c r="S29" s="8" t="inlineStr">
        <is>
          <t>Review Officer – Graduate in any stream
Review Officer (Accounts) – B.Com + DOEACC O Level
Assistant Review Officer – Graduate + O Level + Hindi typing 25 wpm</t>
        </is>
      </c>
      <c r="T29" s="8" t="n"/>
      <c r="U29" s="8" t="inlineStr">
        <is>
          <t>Pay: See official notification</t>
        </is>
      </c>
      <c r="V29" s="8" t="inlineStr">
        <is>
          <t>Prelims exam
Mains exam
Typing test (ARO)
Document verification</t>
        </is>
      </c>
      <c r="W29" s="8" t="inlineStr">
        <is>
          <t>Apply online (UPPSC notifications): https://uppsc.up.nic.in/CandidatePages/Notifications.aspx
UPPSC official website: https://uppsc.up.nic.in/</t>
        </is>
      </c>
      <c r="X29" s="11" t="n"/>
      <c r="Y29" s="11" t="n"/>
      <c r="Z29" s="11" t="n"/>
      <c r="AA29" s="8" t="inlineStr">
        <is>
          <t>No</t>
        </is>
      </c>
    </row>
    <row r="30" ht="145.2" customHeight="1">
      <c r="A30" s="8" t="n">
        <v>29</v>
      </c>
      <c r="B30" s="9" t="inlineStr">
        <is>
          <t>UPSSSC Lower Subordinate (Inter Level) Mains Recruitment 2026</t>
        </is>
      </c>
      <c r="C30" s="8" t="inlineStr">
        <is>
          <t>UP Subordinate Services Selection Commission (UPSSSC)</t>
        </is>
      </c>
      <c r="D30" s="8" t="inlineStr">
        <is>
          <t>26-Exam/2026</t>
        </is>
      </c>
      <c r="E30" s="8" t="n">
        <v>1784</v>
      </c>
      <c r="F30" s="8" t="inlineStr">
        <is>
          <t>16 Oct 2026</t>
        </is>
      </c>
      <c r="G30" s="8" t="inlineStr">
        <is>
          <t>10 Nov 2026</t>
        </is>
      </c>
      <c r="H30" s="10" t="n">
        <v>46357</v>
      </c>
      <c r="I30" s="8">
        <f>IF(H30="","",IF(H30&lt;TODAY(),"Closed","Open"))</f>
        <v/>
      </c>
      <c r="J30" s="8" t="inlineStr">
        <is>
          <t>01 Dec 2026</t>
        </is>
      </c>
      <c r="K30" s="8" t="inlineStr">
        <is>
          <t>To be announced</t>
        </is>
      </c>
      <c r="L30" s="8" t="inlineStr">
        <is>
          <t>Application starts: 10 Nov 2026
Last date: 2026-12-01
Fee last date: 01 Dec 2026
Exam: To be announced</t>
        </is>
      </c>
      <c r="M30" s="8" t="inlineStr">
        <is>
          <t>All categories: ₹25</t>
        </is>
      </c>
      <c r="N30" s="8" t="inlineStr">
        <is>
          <t>Debit/credit card, net banking, UPI</t>
        </is>
      </c>
      <c r="O30" s="8" t="inlineStr">
        <is>
          <t>18 years</t>
        </is>
      </c>
      <c r="P30" s="8" t="inlineStr">
        <is>
          <t>40 years</t>
        </is>
      </c>
      <c r="Q30" s="8" t="inlineStr">
        <is>
          <t>Valid UPSSSC PET score required</t>
        </is>
      </c>
      <c r="R30" s="8" t="inlineStr">
        <is>
          <t>Village Development Officer (Social Welfare) – 525
Village Development Officer – 508
Commercial Tax Collection Amin – 235
Land Amin – 187
Social Welfare Supervisor – 137
Storekeeper &amp; Clerk – 118
Cooperative Agriculture Supervisor – 50
Tabulator – 14
House Mother – 5
Other posts – 5</t>
        </is>
      </c>
      <c r="S30" s="8" t="inlineStr">
        <is>
          <t>Village Development Officer (Social Welfare) – 12th pass
Village Development Officer – 12th pass
Commercial Tax Collection Amin – 12th pass
Land Amin – 12th pass
Social Welfare Supervisor – 12th pass
Storekeeper &amp; Clerk – 12th pass
Cooperative Agriculture Supervisor – 12th pass
Tabulator – 12th pass
House Mother – 12th pass
Other posts – 12th pass</t>
        </is>
      </c>
      <c r="T30" s="8" t="inlineStr">
        <is>
          <t>UR 840 · OBC 448 · EWS 144 · SC 326 · ST 26</t>
        </is>
      </c>
      <c r="U30" s="8" t="inlineStr">
        <is>
          <t>See official notification</t>
        </is>
      </c>
      <c r="V30" s="8" t="n"/>
      <c r="W30" s="8" t="inlineStr">
        <is>
          <t>Notifications / apply: https://upsssc.gov.in/AllNotifications.aspx
UPSSSC official website: https://upsssc.gov.in/</t>
        </is>
      </c>
      <c r="X30" s="11" t="n"/>
      <c r="Y30" s="11" t="n"/>
      <c r="Z30" s="11" t="n"/>
      <c r="AA30" s="8" t="inlineStr">
        <is>
          <t>No</t>
        </is>
      </c>
    </row>
    <row r="31" ht="52.8" customHeight="1">
      <c r="A31" s="8" t="n">
        <v>30</v>
      </c>
      <c r="B31" s="9" t="inlineStr">
        <is>
          <t>JKSSB Junior Engineer (Civil) Recruitment 2026</t>
        </is>
      </c>
      <c r="C31" s="8" t="inlineStr">
        <is>
          <t>J&amp;K Services Selection Board (JKSSB)</t>
        </is>
      </c>
      <c r="D31" s="8" t="inlineStr">
        <is>
          <t>11 of 2026</t>
        </is>
      </c>
      <c r="E31" s="8" t="n">
        <v>458</v>
      </c>
      <c r="F31" s="8" t="n"/>
      <c r="G31" s="8" t="inlineStr">
        <is>
          <t>30 November 2026</t>
        </is>
      </c>
      <c r="H31" s="10" t="n">
        <v>46387</v>
      </c>
      <c r="I31" s="8">
        <f>IF(H31="","",IF(H31&lt;TODAY(),"Closed","Open"))</f>
        <v/>
      </c>
      <c r="J31" s="8" t="n"/>
      <c r="K31" s="8" t="inlineStr">
        <is>
          <t>To be announced</t>
        </is>
      </c>
      <c r="L31" s="8" t="inlineStr">
        <is>
          <t>Notification released: 23 October 2026
Apply online starts: 30 November 2026
Last date to apply: 31 December 2026
Exam date: To be announced</t>
        </is>
      </c>
      <c r="M31" s="8" t="inlineStr">
        <is>
          <t>Open merit / others: ₹600
SC / ST-1 / ST-2 / EWS / PwBD: ₹500</t>
        </is>
      </c>
      <c r="N31" s="8" t="n"/>
      <c r="O31" s="8" t="n"/>
      <c r="P31" s="8" t="inlineStr">
        <is>
          <t>40 years</t>
        </is>
      </c>
      <c r="Q31" s="8" t="inlineStr">
        <is>
          <t>As per J&amp;K rules</t>
        </is>
      </c>
      <c r="R31" s="8" t="inlineStr">
        <is>
          <t>Junior Engineer (Civil) – 458</t>
        </is>
      </c>
      <c r="S31" s="8" t="inlineStr">
        <is>
          <t>Junior Engineer (Civil) – 3-year Diploma in Civil Engg, or B.E./B.Tech Civil, or AMIE (A &amp; B)</t>
        </is>
      </c>
      <c r="T31" s="8" t="n"/>
      <c r="U31" s="8" t="inlineStr">
        <is>
          <t>Pay: Level 6 — ₹35,400 – ₹1,12,400</t>
        </is>
      </c>
      <c r="V31" s="8" t="inlineStr">
        <is>
          <t>Objective written / OMR exam (English)
Document verification</t>
        </is>
      </c>
      <c r="W31" s="8" t="inlineStr">
        <is>
          <t>Official notification (PDF): https://jkssb.nic.in/Pdf/Advertisement_11OF2026_27102026.pdf
JKSSB official website / apply: https://www.jkssb.nic.in/</t>
        </is>
      </c>
      <c r="X31" s="11" t="n"/>
      <c r="Y31" s="11" t="n"/>
      <c r="Z31" s="11" t="n"/>
      <c r="AA31" s="8" t="inlineStr">
        <is>
          <t>No</t>
        </is>
      </c>
    </row>
    <row r="32">
      <c r="A32" t="n">
        <v>31</v>
      </c>
      <c r="B32" t="inlineStr">
        <is>
          <t>GRSE Journeyman &amp; Driver Recruitment 2026</t>
        </is>
      </c>
      <c r="C32" t="inlineStr">
        <is>
          <t>Garden Reach Shipbuilders &amp; Engineers Limited (GRSE)</t>
        </is>
      </c>
      <c r="D32" t="inlineStr">
        <is>
          <t>2026/05 (J&amp;OP)</t>
        </is>
      </c>
      <c r="E32" t="n">
        <v>58</v>
      </c>
      <c r="F32" t="inlineStr">
        <is>
          <t>30 Oct 2026</t>
        </is>
      </c>
      <c r="G32" t="inlineStr">
        <is>
          <t>30 Oct 2026</t>
        </is>
      </c>
      <c r="H32" s="13" t="n">
        <v>46354</v>
      </c>
      <c r="I32" t="inlineStr">
        <is>
          <t>Open</t>
        </is>
      </c>
      <c r="J32" t="inlineStr">
        <is>
          <t>30 Nov 2026 (fee payment verification)</t>
        </is>
      </c>
      <c r="K32" t="inlineStr">
        <is>
          <t>To be announced</t>
        </is>
      </c>
      <c r="L32" t="inlineStr">
        <is>
          <t>Application starts: 30 Oct 2026
Last date: 2026-11-28
Fee payment verification by: 30 Nov 2026
Exam: To be announced</t>
        </is>
      </c>
      <c r="M32" t="inlineStr">
        <is>
          <t>General / OBC / EWS: ₹472
SC / ST / PwBD / GRSE internal candidates: No fee</t>
        </is>
      </c>
      <c r="N32" t="inlineStr">
        <is>
          <t>Online only</t>
        </is>
      </c>
      <c r="O32" t="inlineStr">
        <is>
          <t>Not specified</t>
        </is>
      </c>
      <c r="P32" t="inlineStr">
        <is>
          <t>Journeyman: 26 years; Driver (Vehicle): 32 years</t>
        </is>
      </c>
      <c r="Q32" t="inlineStr">
        <is>
          <t>As on 01 October 2026; relaxation per rules (max after relaxation 56 years)</t>
        </is>
      </c>
      <c r="R32" t="inlineStr">
        <is>
          <t>Electrician – 8
Electronic Mechanic – 6
Painter – 6
Fitter – 6
Structural Fitter – 4
GRP/FRP Worker – 4
Pipe Fitter – 4
Rigger – 4
Machine Operator – 3
Carpenter – 2
Crane Operator – 2
Diesel Mechanic – 2
Driver Material Handling – 2
Welder – 2
Driver (Vehicle) – 3</t>
        </is>
      </c>
      <c r="S32" t="inlineStr">
        <is>
          <t>Journeyman – 10th pass + relevant NAC/NTC trade certificate
Driver (Vehicle) – 10th pass + Commercial LMV licence + 6 years driving experience</t>
        </is>
      </c>
      <c r="T32" t="inlineStr">
        <is>
          <t>Journeyman (55): UR 23 · SC 12 · ST 3 · OBC 10 · EWS 7
Driver (3): UR 2 · OBC 1</t>
        </is>
      </c>
      <c r="U32" t="inlineStr">
        <is>
          <t>Journeyman stipend (2-yr training) – ₹24,000/month (Yr1), ₹26,000/month (Yr2)
Driver (Vehicle) – Skilled Grade-III, ₹20,110–₹70,390/month</t>
        </is>
      </c>
      <c r="V32" t="inlineStr">
        <is>
          <t>Written examination
Document verification
Practical trade test
Physical efficiency test (select posts)
Medical examination</t>
        </is>
      </c>
      <c r="W32" t="inlineStr">
        <is>
          <t>Apply online: https://jobapply.in/GRSE2026Journeyman/Default.aspx
Detailed advertisement (PDF): https://jobapply.in/GRSE2026Journeyman/adv_eng.pdf
GRSE official website: https://www.grse.in/</t>
        </is>
      </c>
      <c r="AA32" t="inlineStr">
        <is>
          <t>No</t>
        </is>
      </c>
    </row>
    <row r="33">
      <c r="A33" t="n">
        <v>32</v>
      </c>
      <c r="B33" t="inlineStr">
        <is>
          <t>AEES Principal, PGT, TGT, PRT &amp; Other Teaching Recruitment 2026</t>
        </is>
      </c>
      <c r="C33" t="inlineStr">
        <is>
          <t>Atomic Energy Education Society (AEES)</t>
        </is>
      </c>
      <c r="D33" t="inlineStr">
        <is>
          <t>01/2026</t>
        </is>
      </c>
      <c r="E33" t="n">
        <v>254</v>
      </c>
      <c r="F33" t="inlineStr">
        <is>
          <t>30 Oct 2026</t>
        </is>
      </c>
      <c r="G33" t="inlineStr">
        <is>
          <t>02 Nov 2026</t>
        </is>
      </c>
      <c r="H33" s="13" t="n">
        <v>46348</v>
      </c>
      <c r="I33" t="inlineStr">
        <is>
          <t>Open</t>
        </is>
      </c>
      <c r="J33" t="inlineStr">
        <is>
          <t>22 Nov 2026</t>
        </is>
      </c>
      <c r="K33" t="inlineStr">
        <is>
          <t>To be announced</t>
        </is>
      </c>
      <c r="L33" t="inlineStr">
        <is>
          <t>Application starts: 02 Nov 2026
Last date: 2026-11-22
Fee last date: 22 Nov 2026
Exam: To be announced</t>
        </is>
      </c>
      <c r="M33" t="inlineStr">
        <is>
          <t>General / OBC / EWS: ₹1,000 (₹750 application + ₹250 processing)
Women / SC / ST / PwBD / Ex-Servicemen: ₹250 (processing only)</t>
        </is>
      </c>
      <c r="N33" t="inlineStr">
        <is>
          <t>Online</t>
        </is>
      </c>
      <c r="O33" t="inlineStr">
        <is>
          <t>18 years</t>
        </is>
      </c>
      <c r="P33" t="inlineStr">
        <is>
          <t>Principal 50; Vice-Principal 45; PGT 40; TGT/Librarian 35; PRT/PRT Music/Balvatika 30 (years)</t>
        </is>
      </c>
      <c r="Q33" t="inlineStr">
        <is>
          <t>As on 22 November 2026; relaxation SC/ST +5, OBC +3, Women +10, PwBD (General) +10</t>
        </is>
      </c>
      <c r="R33" t="inlineStr">
        <is>
          <t>Principal – 4
Vice-Principal – 1
Post Graduate Teacher (PGT) – 27
Trained Graduate Teacher (TGT) – 102
Librarian – 13
Primary Teacher (PRT) – 89
PRT Music – 10
Balvatika Teacher – 8</t>
        </is>
      </c>
      <c r="S33" t="inlineStr">
        <is>
          <t>Principal – Master's (50%) + B.Ed + experience as Principal/VP/PGT
PGT – Postgraduate degree (50%) + B.Ed, no CTET required
TGT – Bachelor's with subject combination + B.Ed + CTET Paper-II
Librarian – Bachelor's in Library Science (50%)
PRT – 12th pass (50%) + D.El.Ed/B.El.Ed + CTET Paper-I
PRT Music – 12th pass + Bachelor's in Music
Balvatika Teacher – 12th pass + Nursery/ECE diploma or B.Ed (Nursery)</t>
        </is>
      </c>
      <c r="T33" t="inlineStr">
        <is>
          <t>UR 112 · OBC-NCL 68 · SC 33 · ST 16 · EWS 25 (PwBD 12, horizontal)</t>
        </is>
      </c>
      <c r="U33" t="inlineStr">
        <is>
          <t>Principal – Level 12, ₹78,800–₹2,09,200
Vice-Principal – Level 10, ₹56,100–₹1,77,500
PGT – Level 8, ₹47,600–₹1,51,100
TGT/Librarian – Level 7, ₹44,900–₹1,42,400
PRT/PRT Music/Balvatika – Level 6, ₹35,400–₹1,12,400</t>
        </is>
      </c>
      <c r="V33" t="inlineStr">
        <is>
          <t>Computer Based Test (CBT), no negative marking
Interview (Principal/VP only, 50% CBT + 50% interview)
Qualifying skill test (other posts)
Document verification
Medical fitness examination</t>
        </is>
      </c>
      <c r="W33" t="inlineStr">
        <is>
          <t>Apply online: https://aees.onlineregistrationforms.com
AEES official website: https://www.aees.gov.in/</t>
        </is>
      </c>
      <c r="AA33" t="inlineStr">
        <is>
          <t>No</t>
        </is>
      </c>
    </row>
    <row r="34">
      <c r="A34" t="n">
        <v>33</v>
      </c>
      <c r="B34" t="inlineStr">
        <is>
          <t>RITES Assistant Manager (Mechanical) Recruitment 2026</t>
        </is>
      </c>
      <c r="C34" t="inlineStr">
        <is>
          <t>Rail India Technical and Economic Service (RITES)</t>
        </is>
      </c>
      <c r="D34" t="inlineStr">
        <is>
          <t>CL/09/26, CL/10/26, CL/11/26</t>
        </is>
      </c>
      <c r="E34" t="n">
        <v>27</v>
      </c>
      <c r="F34" t="inlineStr">
        <is>
          <t>30 Oct 2026</t>
        </is>
      </c>
      <c r="G34" t="inlineStr">
        <is>
          <t>30 Oct 2026</t>
        </is>
      </c>
      <c r="H34" s="13" t="n">
        <v>46346</v>
      </c>
      <c r="I34" t="inlineStr">
        <is>
          <t>Open</t>
        </is>
      </c>
      <c r="J34" t="inlineStr">
        <is>
          <t>20 Nov 2026</t>
        </is>
      </c>
      <c r="K34" t="inlineStr">
        <is>
          <t>29 Nov 2026</t>
        </is>
      </c>
      <c r="L34" t="inlineStr">
        <is>
          <t>Application starts: 30 Oct 2026
Last date: 2026-11-20
Fee last date: 20 Nov 2026
Written test: 29 Nov 2026</t>
        </is>
      </c>
      <c r="M34" t="inlineStr">
        <is>
          <t>General / OBC: ₹600 + taxes
EWS / SC / ST / PwBD: ₹300 + taxes (refunded after written test/interview participation)</t>
        </is>
      </c>
      <c r="N34" t="inlineStr">
        <is>
          <t>Online</t>
        </is>
      </c>
      <c r="O34" t="inlineStr">
        <is>
          <t>Not specified</t>
        </is>
      </c>
      <c r="P34" t="inlineStr">
        <is>
          <t>40 years</t>
        </is>
      </c>
      <c r="Q34" t="inlineStr">
        <is>
          <t>As on 20 November 2026; SC/ST +5, OBC-NCL +3, PwBD +10 (over category relaxation)</t>
        </is>
      </c>
      <c r="R34" t="inlineStr">
        <is>
          <t>AM-Mechanical-I (CL/09/26) – 14
AM-Mechanical-II (CL/10/26) – 10
AM-Mechanical-III (CL/11/26) – 3</t>
        </is>
      </c>
      <c r="S34" t="inlineStr">
        <is>
          <t>AM-Mechanical-I – Diploma/B.Tech (Mechanical) + 8/2 years QA-QC-Testing experience
AM-Mechanical-II – Same + ASNT/ISNT Level-II (UT)
AM-Mechanical-III – Same + ASNT/ISNT Level-II (MPT)</t>
        </is>
      </c>
      <c r="T34" t="inlineStr">
        <is>
          <t>AM-I: UR 8, EWS 1, OBC 3, SC 1, ST 1
AM-II: UR 6, EWS 1, OBC 2, SC 1
AM-III: UR 3</t>
        </is>
      </c>
      <c r="U34" t="inlineStr">
        <is>
          <t>Basic ₹24,258; Gross ₹38,085 per month (contract, lumpsum basis)</t>
        </is>
      </c>
      <c r="V34" t="inlineStr">
        <is>
          <t>Written test (125 objective questions, 2.5 hours, no negative marking)
Interview
Document verification
Medical examination</t>
        </is>
      </c>
      <c r="W34" t="inlineStr">
        <is>
          <t>Apply online / careers: https://rites.com/Career
Official notification (PDF): https://rites.com/Upload/Career/Advertisement_for_CL-09-11_26_pdf-2026-Oct-30-14-18-27.pdf
RITES official website: https://www.rites.com/</t>
        </is>
      </c>
      <c r="AA34" t="inlineStr">
        <is>
          <t>No</t>
        </is>
      </c>
    </row>
    <row r="35">
      <c r="A35" t="n">
        <v>34</v>
      </c>
      <c r="B35" t="inlineStr">
        <is>
          <t>Delhi University Assistant Recruitment 2026</t>
        </is>
      </c>
      <c r="C35" t="inlineStr">
        <is>
          <t>University of Delhi (DU)</t>
        </is>
      </c>
      <c r="D35" t="inlineStr">
        <is>
          <t>R&amp;P/325/2026</t>
        </is>
      </c>
      <c r="E35" t="n">
        <v>215</v>
      </c>
      <c r="F35" t="inlineStr">
        <is>
          <t>29 Oct 2026</t>
        </is>
      </c>
      <c r="G35" t="inlineStr">
        <is>
          <t>29 Oct 2026</t>
        </is>
      </c>
      <c r="H35" s="13" t="n">
        <v>46345</v>
      </c>
      <c r="I35" t="inlineStr">
        <is>
          <t>Open</t>
        </is>
      </c>
      <c r="J35" t="inlineStr">
        <is>
          <t>19 Nov 2026</t>
        </is>
      </c>
      <c r="K35" t="inlineStr">
        <is>
          <t>To be announced</t>
        </is>
      </c>
      <c r="L35" t="inlineStr">
        <is>
          <t>Application starts: 29 Oct 2026
Last date: 2026-11-19 (or 2 weeks from Employment News publication, whichever is later)
Exam: To be announced</t>
        </is>
      </c>
      <c r="M35" t="inlineStr">
        <is>
          <t>General / UR: ₹1,000
OBC (NCL) / EWS / Female: ₹800
SC / ST / PwBD: ₹600</t>
        </is>
      </c>
      <c r="N35" t="inlineStr">
        <is>
          <t>Online</t>
        </is>
      </c>
      <c r="O35" t="inlineStr">
        <is>
          <t>Not specified</t>
        </is>
      </c>
      <c r="P35" t="inlineStr">
        <is>
          <t>32 years</t>
        </is>
      </c>
      <c r="Q35" t="inlineStr">
        <is>
          <t>As on application closing date; relaxation per Central Government orders</t>
        </is>
      </c>
      <c r="R35" t="inlineStr">
        <is>
          <t>Assistant – 215</t>
        </is>
      </c>
      <c r="S35" t="inlineStr">
        <is>
          <t>Assistant – Bachelor's degree + 2 years' experience as Junior Assistant or equivalent + English typing 35 wpm or Hindi typing 30 wpm + computer proficiency</t>
        </is>
      </c>
      <c r="T35" t="inlineStr">
        <is>
          <t>UR 164 · SC 33 · ST 18 · PwBD (Visual Impairment) 1 (horizontal)</t>
        </is>
      </c>
      <c r="U35" t="inlineStr">
        <is>
          <t>Level 4, 7th CPC</t>
        </is>
      </c>
      <c r="V35" t="inlineStr">
        <is>
          <t>Preliminary test (100 MCQs, 200 marks, 0.5 negative marking)
Main examination (descriptive, 200 marks)
Skill test (typing &amp; computer, qualifying)</t>
        </is>
      </c>
      <c r="W35" t="inlineStr">
        <is>
          <t>Recruitment notice: https://www.du.ac.in/
DU official website: https://www.du.ac.in/</t>
        </is>
      </c>
      <c r="AA35" t="inlineStr">
        <is>
          <t>No</t>
        </is>
      </c>
    </row>
    <row r="36">
      <c r="A36" t="n">
        <v>35</v>
      </c>
      <c r="B36" t="inlineStr">
        <is>
          <t>CWC Chief Draughtsman Recruitment 2026 (Deputation)</t>
        </is>
      </c>
      <c r="C36" t="inlineStr">
        <is>
          <t>Central Water Commission (CWC), Ministry of Jal Shakti</t>
        </is>
      </c>
      <c r="D36" t="inlineStr">
        <is>
          <t>Vacancy Circular 01/2026</t>
        </is>
      </c>
      <c r="E36" t="n">
        <v>39</v>
      </c>
      <c r="F36" t="inlineStr">
        <is>
          <t>27 Oct 2026</t>
        </is>
      </c>
      <c r="G36" t="inlineStr">
        <is>
          <t>27 Oct 2026</t>
        </is>
      </c>
      <c r="H36" s="13" t="n">
        <v>46384</v>
      </c>
      <c r="I36" t="inlineStr">
        <is>
          <t>Open</t>
        </is>
      </c>
      <c r="J36" t="inlineStr">
        <is>
          <t>Not applicable</t>
        </is>
      </c>
      <c r="K36" t="inlineStr">
        <is>
          <t>Not applicable (deputation; CV screening by Selection Committee)</t>
        </is>
      </c>
      <c r="L36" t="inlineStr">
        <is>
          <t>Application starts: 27 Oct 2026
Last date: within 60 days of Employment News publication (approx. 2026-12-28)</t>
        </is>
      </c>
      <c r="M36" t="inlineStr">
        <is>
          <t>Not specified in notification</t>
        </is>
      </c>
      <c r="N36" t="inlineStr">
        <is>
          <t>Not applicable (offline, deputation route)</t>
        </is>
      </c>
      <c r="O36" t="inlineStr">
        <is>
          <t>Not specified</t>
        </is>
      </c>
      <c r="P36" t="inlineStr">
        <is>
          <t>56 years</t>
        </is>
      </c>
      <c r="Q36" t="inlineStr">
        <is>
          <t>As on closing date for applications</t>
        </is>
      </c>
      <c r="R36" t="inlineStr">
        <is>
          <t>Chief Draughtsman – 39 (across CWC HQ and 16 field/basin organisations)</t>
        </is>
      </c>
      <c r="S36" t="inlineStr">
        <is>
          <t>Chief Draughtsman – Diploma in Civil/Mechanical Engineering + 3 years' relevant experience; on deputation from an analogous post or 5 years in a Level-6 post</t>
        </is>
      </c>
      <c r="U36" t="inlineStr">
        <is>
          <t>Level-7, ₹44,900 – ₹1,42,400 per month</t>
        </is>
      </c>
      <c r="V36" t="inlineStr">
        <is>
          <t>Screening of CV, qualifications and experience by Selection Committee</t>
        </is>
      </c>
      <c r="W36" t="inlineStr">
        <is>
          <t>CWC official website: https://cwc.gov.in/
Application address: Under Secretary, Establishment-X, CWC, Sewa Bhawan, R.K. Puram, New Delhi</t>
        </is>
      </c>
      <c r="AA36" t="inlineStr">
        <is>
          <t>No</t>
        </is>
      </c>
    </row>
    <row r="37">
      <c r="A37" t="n">
        <v>36</v>
      </c>
      <c r="B37" t="inlineStr">
        <is>
          <t>KEA FDA SDA Recruitment 2026</t>
        </is>
      </c>
      <c r="C37" t="inlineStr">
        <is>
          <t>Karnataka Examinations Authority (KEA)</t>
        </is>
      </c>
      <c r="D37" t="inlineStr">
        <is>
          <t>RPC &amp; Kalyana Karnataka notifications (29 Oct 2026)</t>
        </is>
      </c>
      <c r="E37" t="n">
        <v>5431</v>
      </c>
      <c r="F37" t="inlineStr">
        <is>
          <t>29 Oct 2026</t>
        </is>
      </c>
      <c r="G37" t="inlineStr">
        <is>
          <t>30 Oct 2026</t>
        </is>
      </c>
      <c r="H37" s="13" t="n">
        <v>46351</v>
      </c>
      <c r="I37" t="inlineStr">
        <is>
          <t>Open</t>
        </is>
      </c>
      <c r="J37" t="inlineStr">
        <is>
          <t>26 Nov 2026</t>
        </is>
      </c>
      <c r="K37" t="inlineStr">
        <is>
          <t>08, 09, 10, 16, 17 January 2027</t>
        </is>
      </c>
      <c r="L37" t="inlineStr">
        <is>
          <t>Application starts: 30 Oct 2026
Last date: 2026-11-25
Fee last date: 26 Nov 2026
Exam: 08–17 January 2027</t>
        </is>
      </c>
      <c r="M37" t="inlineStr">
        <is>
          <t>General Merit: ₹750
Reserved categories: ₹500
Special concession: ₹250</t>
        </is>
      </c>
      <c r="N37" t="inlineStr">
        <is>
          <t>Online</t>
        </is>
      </c>
      <c r="O37" t="inlineStr">
        <is>
          <t>18 years</t>
        </is>
      </c>
      <c r="P37" t="inlineStr">
        <is>
          <t>General Merit 40; Category 2A/2B/3A/3B 43; SC/ST/Category-1 45 (years)</t>
        </is>
      </c>
      <c r="Q37" t="inlineStr">
        <is>
          <t>As on application date</t>
        </is>
      </c>
      <c r="R37" t="inlineStr">
        <is>
          <t>Degree-level RPC – 2163
PUC-level RPC – 2070
Degree-level Kalyana Karnataka – 563
PUC-level Kalyana Karnataka – 635</t>
        </is>
      </c>
      <c r="S37" t="inlineStr">
        <is>
          <t>PUC-level (SDA) – 2nd PUC (12th pass) or equivalent
Degree-level (FDA) – Recognised Bachelor's degree or equivalent</t>
        </is>
      </c>
      <c r="U37" t="inlineStr">
        <is>
          <t>PUC-level – ₹34,100–₹67,600
Degree-level – ₹44,425–₹83,700
Supervisory posts – ₹49,050–₹92,500+</t>
        </is>
      </c>
      <c r="V37" t="inlineStr">
        <is>
          <t>Written examination (2 papers, 100 marks each, 0.25 negative marking)
Document verification</t>
        </is>
      </c>
      <c r="W37" t="inlineStr">
        <is>
          <t>Apply online: https://cetonline.karnataka.gov.in/kea
KEA official website: https://cetonline.karnataka.gov.in/kea</t>
        </is>
      </c>
      <c r="AA37" t="inlineStr">
        <is>
          <t>No</t>
        </is>
      </c>
    </row>
    <row r="38">
      <c r="A38" t="n">
        <v>37</v>
      </c>
      <c r="B38" t="inlineStr">
        <is>
          <t>India Post Staff Car Driver Recruitment 2026</t>
        </is>
      </c>
      <c r="C38" t="inlineStr">
        <is>
          <t>Department of Posts, Ministry of Communications (Mail Motor Service, Chennai)</t>
        </is>
      </c>
      <c r="E38" t="n">
        <v>24</v>
      </c>
      <c r="F38" t="inlineStr">
        <is>
          <t>29 Oct 2026</t>
        </is>
      </c>
      <c r="G38" t="inlineStr">
        <is>
          <t>Not stated</t>
        </is>
      </c>
      <c r="H38" s="13" t="n">
        <v>46356</v>
      </c>
      <c r="I38" t="inlineStr">
        <is>
          <t>Open</t>
        </is>
      </c>
      <c r="J38" t="inlineStr">
        <is>
          <t>30 Nov 2026</t>
        </is>
      </c>
      <c r="K38" t="inlineStr">
        <is>
          <t>To be announced</t>
        </is>
      </c>
      <c r="L38" t="inlineStr">
        <is>
          <t>Last date: 2026-11-30 (5:00 PM)
Fee last date: 30 Nov 2026
Exam: To be announced</t>
        </is>
      </c>
      <c r="M38" t="inlineStr">
        <is>
          <t>General / OBC / EWS: ₹100
Women / SC / ST: No fee</t>
        </is>
      </c>
      <c r="N38" t="inlineStr">
        <is>
          <t>Offline (e-payment at computerised post office)</t>
        </is>
      </c>
      <c r="O38" t="inlineStr">
        <is>
          <t>18 years</t>
        </is>
      </c>
      <c r="P38" t="inlineStr">
        <is>
          <t>UR/EWS 27; OBC 30; SC/ST 32 (years)</t>
        </is>
      </c>
      <c r="Q38" t="inlineStr">
        <is>
          <t>As on 30 November 2026; relaxation for govt. servants up to 40, Ex-Servicemen service-based</t>
        </is>
      </c>
      <c r="R38" t="inlineStr">
        <is>
          <t>Staff Car Driver (Ordinary Grade) – 24 (Central Region 1, MM Region 15, Southern Region 2, Western Region 6)</t>
        </is>
      </c>
      <c r="S38" t="inlineStr">
        <is>
          <t>Staff Car Driver – 10th pass + valid LMV &amp; HMV licence + minimum 3 years driving experience on light and heavy vehicles</t>
        </is>
      </c>
      <c r="T38" t="inlineStr">
        <is>
          <t>UR 13 · SC 3 · OBC 7 · EWS 1 (2 posts reserved for Ex-Servicemen, horizontal)</t>
        </is>
      </c>
      <c r="U38" t="inlineStr">
        <is>
          <t>Level 2 (7th CPC), ₹19,900 – ₹63,200</t>
        </is>
      </c>
      <c r="V38" t="inlineStr">
        <is>
          <t>Theory examination (80 MCQs, 80 marks, 90 minutes)
Practical driving test (20 marks)</t>
        </is>
      </c>
      <c r="W38" t="inlineStr">
        <is>
          <t>Notification (PDF): https://www.indiapost.gov.in/api/documents/file/100aafo2s64m0fy8p35t6z0iqrq3bvgv0sj5u0eiq33cu8h3a0kc0fh8h35s2f
India Post official website: https://www.indiapost.gov.in/
Apply offline: Senior Manager, Mail Motor Service, Chennai (Speed Post only)</t>
        </is>
      </c>
      <c r="AA38" t="inlineStr">
        <is>
          <t>No</t>
        </is>
      </c>
    </row>
    <row r="39">
      <c r="A39" t="n">
        <v>38</v>
      </c>
      <c r="B39" t="inlineStr">
        <is>
          <t>India Post Skilled Artisan Recruitment 2026</t>
        </is>
      </c>
      <c r="C39" t="inlineStr">
        <is>
          <t>Department of Posts, Ministry of Communications (Mail Motor Services, Kolkata)</t>
        </is>
      </c>
      <c r="D39" t="inlineStr">
        <is>
          <t>MMG/36/Sk. Artisan/DR/II/95</t>
        </is>
      </c>
      <c r="E39" t="n">
        <v>19</v>
      </c>
      <c r="F39" t="inlineStr">
        <is>
          <t>29 Oct 2026</t>
        </is>
      </c>
      <c r="G39" t="inlineStr">
        <is>
          <t>Not stated</t>
        </is>
      </c>
      <c r="H39" s="13" t="n">
        <v>46356</v>
      </c>
      <c r="I39" t="inlineStr">
        <is>
          <t>Open</t>
        </is>
      </c>
      <c r="J39" t="inlineStr">
        <is>
          <t>30 Nov 2026</t>
        </is>
      </c>
      <c r="K39" t="inlineStr">
        <is>
          <t>To be announced (trade test)</t>
        </is>
      </c>
      <c r="L39" t="inlineStr">
        <is>
          <t>Corrigendum released: 29 Oct 2026
Last date: 2026-11-30 (5:00 PM)
Trade test: To be announced</t>
        </is>
      </c>
      <c r="M39" t="inlineStr">
        <is>
          <t>Not specified in the corrigendum</t>
        </is>
      </c>
      <c r="N39" t="inlineStr">
        <is>
          <t>Offline</t>
        </is>
      </c>
      <c r="O39" t="inlineStr">
        <is>
          <t>18 years</t>
        </is>
      </c>
      <c r="P39" t="inlineStr">
        <is>
          <t>30 years (UR)</t>
        </is>
      </c>
      <c r="Q39" t="inlineStr">
        <is>
          <t>As on 01 July 2018; SC/ST +5, OBC-NCL +3, govt. servants up to 40, Ex-Servicemen service-based</t>
        </is>
      </c>
      <c r="R39" t="inlineStr">
        <is>
          <t>MV Mechanic – 8
MV Electrician – 4
Tyreman – 2
Blacksmith – 2
Painter – 1
Upholsterer – 1
Carpenter &amp; Joiner – 1</t>
        </is>
      </c>
      <c r="S39" t="inlineStr">
        <is>
          <t>Skilled Artisan – Trade certificate from a government-recognised technical institution, OR 8th pass + 1 year trade experience; MV Mechanic also needs a valid HMV licence</t>
        </is>
      </c>
      <c r="T39" t="inlineStr">
        <is>
          <t>MV Mechanic: UR 4, SC 2, ST 1, OBC 1
MV Electrician: UR 2, SC 1, OBC 1
Tyreman: UR 1, OBC 1
Blacksmith: UR 1, SC 1
Painter: UR 1
Upholsterer: UR 1
Carpenter &amp; Joiner: OBC 1</t>
        </is>
      </c>
      <c r="U39" t="inlineStr">
        <is>
          <t>Level 2 (7th CPC), ₹19,900 – ₹63,200</t>
        </is>
      </c>
      <c r="V39" t="inlineStr">
        <is>
          <t>Scrutiny and shortlisting
Competitive trade test</t>
        </is>
      </c>
      <c r="W39" t="inlineStr">
        <is>
          <t>Notification (PDF): https://www.indiapost.gov.in/api/documents/file/10391xe2ox8w0is613k9jr369dy34fsw0s5ca3h16z08vuz04nku0gw9f35snp
India Post official website: https://www.indiapost.gov.in/
Apply offline: Senior Manager, Mail Motor Services, Kolkata (Speed Post only)</t>
        </is>
      </c>
      <c r="AA39" t="inlineStr">
        <is>
          <t>No</t>
        </is>
      </c>
    </row>
    <row r="40">
      <c r="A40" t="n">
        <v>39</v>
      </c>
      <c r="B40" t="inlineStr">
        <is>
          <t>Goa Samagra Shiksha Instructor (NSQF Sectors) Recruitment 2026</t>
        </is>
      </c>
      <c r="C40" t="inlineStr">
        <is>
          <t>Goa Samagra Shiksha</t>
        </is>
      </c>
      <c r="D40" t="inlineStr">
        <is>
          <t>GSS/WII/99/2026-27/3986</t>
        </is>
      </c>
      <c r="E40" t="n">
        <v>41</v>
      </c>
      <c r="F40" t="inlineStr">
        <is>
          <t>30 Oct 2026</t>
        </is>
      </c>
      <c r="G40" t="inlineStr">
        <is>
          <t>Walk-in (no online application)</t>
        </is>
      </c>
      <c r="H40" t="inlineStr">
        <is>
          <t>Walk-in interview: 05–06 November 2026</t>
        </is>
      </c>
      <c r="I40" t="inlineStr">
        <is>
          <t>Open</t>
        </is>
      </c>
      <c r="J40" t="inlineStr">
        <is>
          <t>Not applicable</t>
        </is>
      </c>
      <c r="K40" t="inlineStr">
        <is>
          <t>Walk-in interview: 05–06 November 2026</t>
        </is>
      </c>
      <c r="L40" t="inlineStr">
        <is>
          <t>Advertisement: 30 Oct 2026
Walk-in interview: 05–06 Nov 2026
Contract end: 31 Mar 2027</t>
        </is>
      </c>
      <c r="M40" t="inlineStr">
        <is>
          <t>Not specified</t>
        </is>
      </c>
      <c r="N40" t="inlineStr">
        <is>
          <t>Not applicable (walk-in)</t>
        </is>
      </c>
      <c r="O40" t="inlineStr">
        <is>
          <t>Not specified</t>
        </is>
      </c>
      <c r="P40" t="inlineStr">
        <is>
          <t>Not specified</t>
        </is>
      </c>
      <c r="Q40" t="inlineStr">
        <is>
          <t>As per Govt. norms</t>
        </is>
      </c>
      <c r="R40" t="inlineStr">
        <is>
          <t>Tourism &amp; Hospitality – 8
Electronics – 6
Agriculture – 6
Healthcare – 4
Retail – 3
Logistics – 3
Automobile – 3
Media &amp; Entertainment – 2
Construction – 2
BFSI – 2
Telecommunication – 1
Plumbing – 1</t>
        </is>
      </c>
      <c r="S40" t="inlineStr">
        <is>
          <t>Konkani knowledge essential for all posts; sector-specific diploma/degree + experience (e.g. Tourism &amp; Hospitality – Hotel Management diploma/degree + 5 yrs experience; Healthcare – GNM/B.Sc Nursing + 2–3 yrs experience)</t>
        </is>
      </c>
      <c r="U40" t="inlineStr">
        <is>
          <t>₹20,000 per month (consolidated), contract till 31 March 2027</t>
        </is>
      </c>
      <c r="V40" t="inlineStr">
        <is>
          <t>Walk-in interview with original document verification</t>
        </is>
      </c>
      <c r="W40" t="inlineStr">
        <is>
          <t>Notification (PDF): https://scert.goa.gov.in/wp-content/uploads/2026/10/GSS-Advt-30.10.2026.pdf</t>
        </is>
      </c>
      <c r="AA40" t="inlineStr">
        <is>
          <t>No</t>
        </is>
      </c>
    </row>
    <row r="41">
      <c r="A41" t="n">
        <v>40</v>
      </c>
      <c r="B41" t="inlineStr">
        <is>
          <t>CG Police Fighter Constable Recruitment 2026 (Sukma)</t>
        </is>
      </c>
      <c r="C41" t="inlineStr">
        <is>
          <t>Office of the Superintendent of Police, Sukma (Chhattisgarh Police)</t>
        </is>
      </c>
      <c r="D41" t="inlineStr">
        <is>
          <t>1,201/2026</t>
        </is>
      </c>
      <c r="E41" t="n">
        <v>375</v>
      </c>
      <c r="F41" t="inlineStr">
        <is>
          <t>30 Oct 2026</t>
        </is>
      </c>
      <c r="G41" t="inlineStr">
        <is>
          <t>02 Nov 2026</t>
        </is>
      </c>
      <c r="H41" s="13" t="n">
        <v>46368</v>
      </c>
      <c r="I41" t="inlineStr">
        <is>
          <t>Open</t>
        </is>
      </c>
      <c r="J41" t="inlineStr">
        <is>
          <t>Not specified</t>
        </is>
      </c>
      <c r="K41" t="inlineStr">
        <is>
          <t>To be announced</t>
        </is>
      </c>
      <c r="L41" t="inlineStr">
        <is>
          <t>Press note: 30 Oct 2026
Application starts: 02 Nov 2026
Last date: 2026-12-12 (5:00 PM)</t>
        </is>
      </c>
      <c r="M41" t="inlineStr">
        <is>
          <t>Not specified in notification</t>
        </is>
      </c>
      <c r="N41" t="inlineStr">
        <is>
          <t>Offline (hand delivery or registered post)</t>
        </is>
      </c>
      <c r="O41" t="inlineStr">
        <is>
          <t>Not specified</t>
        </is>
      </c>
      <c r="P41" t="inlineStr">
        <is>
          <t>Not specified</t>
        </is>
      </c>
      <c r="Q41" t="inlineStr">
        <is>
          <t>Not specified in official notification</t>
        </is>
      </c>
      <c r="R41" t="inlineStr">
        <is>
          <t>Fighter Constable – 375</t>
        </is>
      </c>
      <c r="S41" t="inlineStr">
        <is>
          <t>Fighter Constable – local resident of Sukma district only; educational qualification not specified in notification</t>
        </is>
      </c>
      <c r="T41" t="inlineStr">
        <is>
          <t>ST 315 · UR 26 · OBC 26 · SC 8</t>
        </is>
      </c>
      <c r="U41" t="inlineStr">
        <is>
          <t>Not specified in notification</t>
        </is>
      </c>
      <c r="V41" t="inlineStr">
        <is>
          <t>Physical standards
Physical efficiency test
Written examination</t>
        </is>
      </c>
      <c r="W41" t="inlineStr">
        <is>
          <t>Official website: https://sukma.cgpolice.gov.in/
Chhattisgarh Police website: https://cgpolice.gov.in/</t>
        </is>
      </c>
      <c r="AA41" t="inlineStr">
        <is>
          <t>No</t>
        </is>
      </c>
    </row>
    <row r="42">
      <c r="A42" t="n">
        <v>41</v>
      </c>
      <c r="B42" t="inlineStr">
        <is>
          <t>Collectorate Beed Non-Official Members Recruitment 2026</t>
        </is>
      </c>
      <c r="C42" t="inlineStr">
        <is>
          <t>Collectorate Office Beed (Food, Civil Supplies &amp; Consumer Protection Dept.), Maharashtra</t>
        </is>
      </c>
      <c r="D42" t="inlineStr">
        <is>
          <t>2022/P.R.No.19/Grass-2</t>
        </is>
      </c>
      <c r="E42" t="n">
        <v>24</v>
      </c>
      <c r="F42" t="inlineStr">
        <is>
          <t>30 Oct 2026</t>
        </is>
      </c>
      <c r="G42" t="inlineStr">
        <is>
          <t>30 Oct 2026</t>
        </is>
      </c>
      <c r="H42" s="13" t="n">
        <v>46355</v>
      </c>
      <c r="I42" t="inlineStr">
        <is>
          <t>Open</t>
        </is>
      </c>
      <c r="J42" t="inlineStr">
        <is>
          <t>Not applicable</t>
        </is>
      </c>
      <c r="K42" t="inlineStr">
        <is>
          <t>Not applicable</t>
        </is>
      </c>
      <c r="L42" t="inlineStr">
        <is>
          <t>Notification: 30 Oct 2026
Last date: 2026-11-29 (30 days from publication)</t>
        </is>
      </c>
      <c r="M42" t="inlineStr">
        <is>
          <t>No fee specified</t>
        </is>
      </c>
      <c r="N42" t="inlineStr">
        <is>
          <t>Offline (submit to local Tahsildar office)</t>
        </is>
      </c>
      <c r="O42" t="inlineStr">
        <is>
          <t>Not specified</t>
        </is>
      </c>
      <c r="P42" t="inlineStr">
        <is>
          <t>Not specified</t>
        </is>
      </c>
      <c r="Q42" t="inlineStr">
        <is>
          <t>Not specified</t>
        </is>
      </c>
      <c r="R42" t="inlineStr">
        <is>
          <t>Municipal Council Member – 2
Agricultural Produce Market Committee Member – 2
Consumer Organization Member – 10
School/College Member – 2
Medical Professional Member – 2
Trade and Industry Member – 2
Petrol and Gas Distributor Member – 2
Farmer Representative Member – 2</t>
        </is>
      </c>
      <c r="S42" t="inlineStr">
        <is>
          <t>As per category-specific guidelines for each member type (Municipal Council, APMC, Consumer Organization, School/College, Medical Professional, Trader, Gas Distributor, Farmer)</t>
        </is>
      </c>
      <c r="U42" t="inlineStr">
        <is>
          <t>Not specified (non-official/honorary member positions)</t>
        </is>
      </c>
      <c r="V42" t="inlineStr">
        <is>
          <t>Scrutiny by District Level Committee
Selection per eligibility and norms
Appointment order by District Collector</t>
        </is>
      </c>
      <c r="W42" t="inlineStr">
        <is>
          <t>Official website: https://beed.gov.in/</t>
        </is>
      </c>
      <c r="AA42" t="inlineStr">
        <is>
          <t>No</t>
        </is>
      </c>
    </row>
    <row r="43">
      <c r="A43" t="n">
        <v>42</v>
      </c>
      <c r="B43" t="inlineStr">
        <is>
          <t>DMFT Dhanbad Medical Officer &amp; Specialist Recruitment 2026</t>
        </is>
      </c>
      <c r="C43" t="inlineStr">
        <is>
          <t>District Mineral Foundation Trust, Dhanbad (DMFT), Jharkhand</t>
        </is>
      </c>
      <c r="D43" t="inlineStr">
        <is>
          <t>/DMFT</t>
        </is>
      </c>
      <c r="E43" t="n">
        <v>74</v>
      </c>
      <c r="F43" t="inlineStr">
        <is>
          <t>30 Oct 2026</t>
        </is>
      </c>
      <c r="G43" t="inlineStr">
        <is>
          <t>30 Oct 2026</t>
        </is>
      </c>
      <c r="H43" s="13" t="n">
        <v>46347</v>
      </c>
      <c r="I43" t="inlineStr">
        <is>
          <t>Open</t>
        </is>
      </c>
      <c r="J43" t="inlineStr">
        <is>
          <t>21 Nov 2026</t>
        </is>
      </c>
      <c r="K43" t="inlineStr">
        <is>
          <t>Not applicable (interview-based)</t>
        </is>
      </c>
      <c r="L43" t="inlineStr">
        <is>
          <t>Application starts: 30 Oct 2026
Last date: 2026-11-21</t>
        </is>
      </c>
      <c r="M43" t="inlineStr">
        <is>
          <t>No fee mentioned</t>
        </is>
      </c>
      <c r="N43" t="inlineStr">
        <is>
          <t>Online</t>
        </is>
      </c>
      <c r="O43" t="inlineStr">
        <is>
          <t>Not specified</t>
        </is>
      </c>
      <c r="P43" t="inlineStr">
        <is>
          <t>Not specified</t>
        </is>
      </c>
      <c r="Q43" t="inlineStr">
        <is>
          <t>Not specified</t>
        </is>
      </c>
      <c r="R43" t="inlineStr">
        <is>
          <t>Medical Officer (NRHM+NUHM) – 48
General Physician (NRHM+NCD Cell) – 13
Gynecologist (NRHM+NUHM) – 2
Paediatrician (NRHM+NUHM) – 7
Anesthesiologist (NRHM+NUHM) – 4</t>
        </is>
      </c>
      <c r="S43" t="inlineStr">
        <is>
          <t>Medical Officer – MBBS
General Physician – MBBS + MD/DNB/DGM (General Medicine)
Gynecologist – MBBS + MD/MS/DNB/DGO (Obstetrics &amp; Gynecology)
Paediatrician – MBBS + MD/DNB/DCH (Child Health)
Anesthesiologist – MBBS + MD/DNB/DA (Anesthesiology)</t>
        </is>
      </c>
      <c r="U43" t="inlineStr">
        <is>
          <t>Medical Officer – ₹63,000/month
Specialists (General Physician/Gynecologist/Paediatrician/Anesthesiologist) – ₹1,10,000/month</t>
        </is>
      </c>
      <c r="V43" t="inlineStr">
        <is>
          <t>Personal interview
Document verification</t>
        </is>
      </c>
      <c r="W43" t="inlineStr">
        <is>
          <t>Apply online: https://doctorrg.egovdhn.in/
Notification (PDF): https://cdn.s3waas.gov.in/s337f0e884fbad9667e38940169d0a3c95/uploads/17933632561062.pdf</t>
        </is>
      </c>
      <c r="AA43" t="inlineStr">
        <is>
          <t>No</t>
        </is>
      </c>
    </row>
    <row r="44">
      <c r="A44" t="n">
        <v>43</v>
      </c>
      <c r="B44" t="inlineStr">
        <is>
          <t>NRLM Karnataka (KSRLPS) Various Posts Recruitment 2026 (Mysuru)</t>
        </is>
      </c>
      <c r="C44" t="inlineStr">
        <is>
          <t>Karnataka State Rural Livelihood Promotion Society (KSRLPS) – NRLM Karnataka</t>
        </is>
      </c>
      <c r="E44" t="n">
        <v>32</v>
      </c>
      <c r="F44" t="inlineStr">
        <is>
          <t>30 Oct 2026</t>
        </is>
      </c>
      <c r="G44" t="inlineStr">
        <is>
          <t>30 Oct 2026</t>
        </is>
      </c>
      <c r="H44" s="13" t="n">
        <v>46338</v>
      </c>
      <c r="I44" t="inlineStr">
        <is>
          <t>Open</t>
        </is>
      </c>
      <c r="J44" t="inlineStr">
        <is>
          <t>Not applicable</t>
        </is>
      </c>
      <c r="K44" t="inlineStr">
        <is>
          <t>Not announced</t>
        </is>
      </c>
      <c r="L44" t="inlineStr">
        <is>
          <t>Application starts: 30 Oct 2026
Last date: 2026-11-12</t>
        </is>
      </c>
      <c r="M44" t="inlineStr">
        <is>
          <t>No fee mentioned</t>
        </is>
      </c>
      <c r="N44" t="inlineStr">
        <is>
          <t>Online</t>
        </is>
      </c>
      <c r="O44" t="inlineStr">
        <is>
          <t>18 years</t>
        </is>
      </c>
      <c r="P44" t="inlineStr">
        <is>
          <t>Up to 50 years (Taluk Program Manager: 45 years)</t>
        </is>
      </c>
      <c r="Q44" t="inlineStr">
        <is>
          <t>As per portal; varies by post</t>
        </is>
      </c>
      <c r="R44" t="inlineStr">
        <is>
          <t>Block Manager – Farm Livelihoods – 7
Block Manager – Non-Farm Livelihood – 7
Cluster Supervisor – Skill – 5
Taluk Program Manager – 4
Block Technical Coordinator – Enterprise Promotion – 4
District Manager – Farm Livelihood – 1
District Manager – Institutional &amp; Capacity Building – 1
Office Assistant – 1
DEO/MIS Coordinator – 2</t>
        </is>
      </c>
      <c r="S44" t="inlineStr">
        <is>
          <t>Block Manager (Farm) – M.Sc./B.Sc. Agriculture + 1–5 yrs experience
Block Technical Coordinator – PG in Management/Commerce/Engineering
District Manager – M.Sc./B.Sc. Agriculture or MSW/MBA + experience
Office Assistant – Any graduate + 3 yrs experience
Taluk Program Manager – 2-yr PG/PG Diploma + 5 yrs experience
Cluster Supervisor – Any graduate + 3 yrs experience
DEO/MIS Coordinator – PG/professional graduate + 3 yrs experience</t>
        </is>
      </c>
      <c r="U44" t="inlineStr">
        <is>
          <t>Block Manager – ₹25,000
Block Technical Coordinator – ₹42,000
District Manager – ₹30,000
Office Assistant – ₹20,000
Cluster Supervisor – ₹18,000
DEO/MIS Coordinator – ₹20,500</t>
        </is>
      </c>
      <c r="V44" t="inlineStr">
        <is>
          <t>Selection per KSRLPS instructions communicated through official portal</t>
        </is>
      </c>
      <c r="W44" t="inlineStr">
        <is>
          <t>Apply online: https://jobsksrlps.karnataka.gov.in/</t>
        </is>
      </c>
      <c r="AA44" t="inlineStr">
        <is>
          <t>No</t>
        </is>
      </c>
    </row>
    <row r="45">
      <c r="A45" t="n">
        <v>44</v>
      </c>
      <c r="B45" t="inlineStr">
        <is>
          <t>Directorate of Industries &amp; Commerce Tripura Various Posts Recruitment 2026</t>
        </is>
      </c>
      <c r="C45" t="inlineStr">
        <is>
          <t>Directorate of Industries &amp; Commerce, Tripura</t>
        </is>
      </c>
      <c r="D45" t="inlineStr">
        <is>
          <t>F. DI/ESTT/IV-5/99/Part/(2026)/19,798</t>
        </is>
      </c>
      <c r="E45" t="n">
        <v>48</v>
      </c>
      <c r="F45" t="inlineStr">
        <is>
          <t>30 Oct 2026</t>
        </is>
      </c>
      <c r="G45" t="inlineStr">
        <is>
          <t>04 Nov 2026</t>
        </is>
      </c>
      <c r="H45" s="13" t="n">
        <v>46360</v>
      </c>
      <c r="I45" t="inlineStr">
        <is>
          <t>Open</t>
        </is>
      </c>
      <c r="J45" t="inlineStr">
        <is>
          <t>04 Dec 2026</t>
        </is>
      </c>
      <c r="K45" t="inlineStr">
        <is>
          <t>To be notified</t>
        </is>
      </c>
      <c r="L45" t="inlineStr">
        <is>
          <t>Notice: 30 Oct 2026
Application starts: 04 Nov 2026
Last date: 2026-12-04 (5:30 PM)</t>
        </is>
      </c>
      <c r="M45" t="inlineStr">
        <is>
          <t>All posts: ₹300 (non-refundable)</t>
        </is>
      </c>
      <c r="N45" t="inlineStr">
        <is>
          <t>Online</t>
        </is>
      </c>
      <c r="O45" t="inlineStr">
        <is>
          <t>18 years</t>
        </is>
      </c>
      <c r="P45" t="inlineStr">
        <is>
          <t>40 years (45 with SC/ST/PH/govt. servant relaxation)</t>
        </is>
      </c>
      <c r="Q45" t="inlineStr">
        <is>
          <t>General relaxation 5 years for SC/ST/PH/Government servants</t>
        </is>
      </c>
      <c r="R45" t="inlineStr">
        <is>
          <t>Extension Officer (Industry), Group-C – 6
Field Assistant, Group-C – 38
Junior Store Keeper, Group-C – 4</t>
        </is>
      </c>
      <c r="S45" t="inlineStr">
        <is>
          <t>Extension Officer – Bachelor's degree in any discipline
Field Assistant – Madhyamik (10th) pass
Junior Store Keeper – Madhyamik pass + computer operation + 30 wpm English typing; all posts require permanent Tripura residence</t>
        </is>
      </c>
      <c r="T45" t="inlineStr">
        <is>
          <t>Extension Officer: SC 1, ST 2, UR 3
Field Assistant: SC 7, ST 14, UR 17
Junior Store Keeper: SC 2, UR 2</t>
        </is>
      </c>
      <c r="U45" t="inlineStr">
        <is>
          <t>Extension Officer – ₹26,025 (Level-10)
Field Assistant / Junior Store Keeper – ₹16,050 (Level-7)</t>
        </is>
      </c>
      <c r="V45" t="inlineStr">
        <is>
          <t>Written examination (85 MCQs, 85 marks, 2.5 hours, 0.25 negative marking)
Document verification
Interview
Final merit list</t>
        </is>
      </c>
      <c r="W45" t="inlineStr">
        <is>
          <t>Apply online: https://recruitment.industriestripura.in/
Official notification (PDF): https://tripura.gov.in/sites/default/files/I_&amp;_C_(Publication).pdf</t>
        </is>
      </c>
      <c r="AA45" t="inlineStr">
        <is>
          <t>No</t>
        </is>
      </c>
    </row>
    <row r="46">
      <c r="A46" t="n">
        <v>45</v>
      </c>
      <c r="B46" t="inlineStr">
        <is>
          <t>BCECEB Senior Resident/Tutor Recruitment 2026 (III)</t>
        </is>
      </c>
      <c r="C46" t="inlineStr">
        <is>
          <t>Bihar Combined Entrance Competitive Examination Board (BCECEB), Health Department, Bihar</t>
        </is>
      </c>
      <c r="D46" t="inlineStr">
        <is>
          <t>Sa.Sa.-17/Vividh-01-289/2026-1299(17)</t>
        </is>
      </c>
      <c r="E46" t="n">
        <v>575</v>
      </c>
      <c r="F46" t="inlineStr">
        <is>
          <t>30 Oct 2026</t>
        </is>
      </c>
      <c r="G46" t="inlineStr">
        <is>
          <t>02 Nov 2026</t>
        </is>
      </c>
      <c r="H46" s="13" t="n">
        <v>46349</v>
      </c>
      <c r="I46" t="inlineStr">
        <is>
          <t>Open</t>
        </is>
      </c>
      <c r="J46" t="inlineStr">
        <is>
          <t>23 Nov 2026</t>
        </is>
      </c>
      <c r="K46" t="inlineStr">
        <is>
          <t>Not applicable (merit-based, no written exam)</t>
        </is>
      </c>
      <c r="L46" t="inlineStr">
        <is>
          <t>Registration opens: 02 Nov 2026
Registration closes: 23 Nov 2026 (10:00 PM)
Fee payment deadline: 23 Nov 2026
Application editing window: until 24 Nov 2026</t>
        </is>
      </c>
      <c r="M46" t="inlineStr">
        <is>
          <t>All categories: ₹2,250 (non-refundable) + online processing charges</t>
        </is>
      </c>
      <c r="N46" t="inlineStr">
        <is>
          <t>Online</t>
        </is>
      </c>
      <c r="O46" t="inlineStr">
        <is>
          <t>Not specified</t>
        </is>
      </c>
      <c r="P46" t="inlineStr">
        <is>
          <t>UR male 37; UR female/BC/EBC 40; SC/ST 42 (years)</t>
        </is>
      </c>
      <c r="Q46" t="inlineStr">
        <is>
          <t>As on 01 August 2026; PwD relaxation 10 years</t>
        </is>
      </c>
      <c r="R46" t="inlineStr">
        <is>
          <t>Anatomy – 56
Physical Medicine &amp; Rehabilitation – 55
Psychiatry – 58
Physiology – 57
Preventive &amp; Social Medicine – 52
Radiology – 68
Dermatology – 56
Geriatrics – 33
Radiotherapy – 72
Tuberculosis &amp; Chest Diseases – 68</t>
        </is>
      </c>
      <c r="S46" t="inlineStr">
        <is>
          <t>Senior Resident/Tutor – MD/MS/DNB (or equivalent PG medical qualification) in the concerned subject + valid medical registration</t>
        </is>
      </c>
      <c r="T46" t="inlineStr">
        <is>
          <t>Freedom Fighter Dependent – 10 posts (2%)
Persons with Disabilities – 19 posts (4%)</t>
        </is>
      </c>
      <c r="U46" t="inlineStr">
        <is>
          <t>₹1,15,000 per month (3-year tenure)</t>
        </is>
      </c>
      <c r="V46" t="inlineStr">
        <is>
          <t>Online application &amp; eligibility verification
Merit-based panel (qualification marks + experience weightage)
Counselling &amp; document verification</t>
        </is>
      </c>
      <c r="W46" t="inlineStr">
        <is>
          <t>Apply online: https://bceceboard.bihar.gov.in/
Official prospectus (PDF): https://bceceboard.bihar.gov.in/pdf_Pros/PROS_3SR26.pdf</t>
        </is>
      </c>
      <c r="AA46" t="inlineStr">
        <is>
          <t>No</t>
        </is>
      </c>
    </row>
    <row r="47">
      <c r="A47" t="n">
        <v>46</v>
      </c>
      <c r="B47" t="inlineStr">
        <is>
          <t>MSCPS Various Posts Recruitment 2026</t>
        </is>
      </c>
      <c r="C47" t="inlineStr">
        <is>
          <t>Mizoram State Child Protection Society (MSCPS)</t>
        </is>
      </c>
      <c r="D47" t="inlineStr">
        <is>
          <t>B.11013/2/2026-MSCPS</t>
        </is>
      </c>
      <c r="E47" t="n">
        <v>95</v>
      </c>
      <c r="F47" t="inlineStr">
        <is>
          <t>30 Oct 2026</t>
        </is>
      </c>
      <c r="G47" t="inlineStr">
        <is>
          <t>30 Oct 2026</t>
        </is>
      </c>
      <c r="H47" s="13" t="n">
        <v>46345</v>
      </c>
      <c r="I47" t="inlineStr">
        <is>
          <t>Open</t>
        </is>
      </c>
      <c r="J47" t="inlineStr">
        <is>
          <t>Not applicable</t>
        </is>
      </c>
      <c r="K47" t="inlineStr">
        <is>
          <t>Not applicable (interview-based)</t>
        </is>
      </c>
      <c r="L47" t="inlineStr">
        <is>
          <t>Notice: 30 Oct 2026
Application starts: 30 Oct 2026
Last date: 2026-11-19
Selection: Interview (dates to follow)</t>
        </is>
      </c>
      <c r="M47" t="inlineStr">
        <is>
          <t>Not specified</t>
        </is>
      </c>
      <c r="N47" t="inlineStr">
        <is>
          <t>Offline (submit to respective DCPU office)</t>
        </is>
      </c>
      <c r="O47" t="inlineStr">
        <is>
          <t>18 years (varies by post)</t>
        </is>
      </c>
      <c r="P47" t="inlineStr">
        <is>
          <t>35–45 years depending on post (Project Coordinator 21–40; House Mother/Father 18–45)</t>
        </is>
      </c>
      <c r="Q47" t="inlineStr">
        <is>
          <t>SC/ST relaxation up to 5 years (specified posts); current MSCPS staff up to 50 years (select posts)</t>
        </is>
      </c>
      <c r="R47" t="inlineStr">
        <is>
          <t>Nurse (Female only) – 23
Care Taker cum Vocational Instructor – 23
Special Educator/Therapist – 22
Cook – 5
Helper cum Night Watchman – 4
House Father – 3
Housekeeper – 3
Case Worker (Child Helpline Unit) – 2
Educator – 2
Art &amp; Craft cum Music Teacher – 2
Project Coordinator – 1
Case Worker (Child Care Institution) – 1
Data Analyst – 1
Storekeeper cum Accountant – 1
House Mother – 1
Paramedical Staff – 1</t>
        </is>
      </c>
      <c r="S47" t="inlineStr">
        <is>
          <t>Project Coordinator / Case Worker – PG in Social Work/Psychology/related field (55%+)
Special Educator/Therapist – M.Phil/Bachelor's in therapy or Diploma in Special Education + RCI CRR
Data Analyst – Bachelor's in Statistics/Maths/Economics (55%+)
Storekeeper cum Accountant – Graduate in Commerce/Maths (55%+) + Tally
Nurse – GNM; Paramedical Staff – GNM/ANM
House Mother/Father – Class XII
Cook/Helper/Housekeeper – Class VIII–X
All posts require Mizo language proficiency up to Middle School level</t>
        </is>
      </c>
      <c r="U47" t="inlineStr">
        <is>
          <t>Project Coordinator – ₹25,000
Case Worker (Child Care)/Special Educator – ₹23,170
Data Analyst/Storekeeper – ₹18,536
Case Worker (Helpline) – ₹15,000
House Mother/Father – ₹14,564
Nurse – ₹13,240
Paramedical Staff – ₹11,916
Educator/Art &amp; Craft Teacher – ₹10,000
Cook/Care Taker – ₹9,930
Helper/Housekeeper – ₹7,944</t>
        </is>
      </c>
      <c r="V47" t="inlineStr">
        <is>
          <t>Interview for all posts (shortlist notified on wcd.mizoram.gov.in)</t>
        </is>
      </c>
      <c r="W47" t="inlineStr">
        <is>
          <t>Official website: https://wcd.mizoram.gov.in/</t>
        </is>
      </c>
      <c r="AA47" t="inlineStr">
        <is>
          <t>No</t>
        </is>
      </c>
    </row>
    <row r="48">
      <c r="A48" t="n">
        <v>47</v>
      </c>
      <c r="B48" t="inlineStr">
        <is>
          <t>GSSSB Surveyor (Class-3) Recruitment 2026</t>
        </is>
      </c>
      <c r="C48" t="inlineStr">
        <is>
          <t>Gujarat Subordinate Service Selection Board (GSSSB), Forest &amp; Environment Department</t>
        </is>
      </c>
      <c r="D48" t="inlineStr">
        <is>
          <t>467/2026-27</t>
        </is>
      </c>
      <c r="E48" t="n">
        <v>78</v>
      </c>
      <c r="F48" t="inlineStr">
        <is>
          <t>30 Oct 2026</t>
        </is>
      </c>
      <c r="G48" t="inlineStr">
        <is>
          <t>30 Oct 2026</t>
        </is>
      </c>
      <c r="H48" s="13" t="n">
        <v>46346</v>
      </c>
      <c r="I48" t="inlineStr">
        <is>
          <t>Open</t>
        </is>
      </c>
      <c r="J48" t="inlineStr">
        <is>
          <t>23 Nov 2026</t>
        </is>
      </c>
      <c r="K48" t="inlineStr">
        <is>
          <t>To be announced</t>
        </is>
      </c>
      <c r="L48" t="inlineStr">
        <is>
          <t>Application starts: 30 Oct 2026 (2:00 PM)
Last date: 2026-11-20
Fee last date: 23 Nov 2026
Exam: To be announced</t>
        </is>
      </c>
      <c r="M48" t="inlineStr">
        <is>
          <t>General/Unreserved: ₹500
Women / SC / ST / SEBC / EWS / PwD / Ex-Servicemen: ₹400</t>
        </is>
      </c>
      <c r="N48" t="inlineStr">
        <is>
          <t>Online (OJAS portal)</t>
        </is>
      </c>
      <c r="O48" t="inlineStr">
        <is>
          <t>18 years</t>
        </is>
      </c>
      <c r="P48" t="inlineStr">
        <is>
          <t>General male 33; General female 38; Reserved male 38; Reserved female 43; PwD up to 45</t>
        </is>
      </c>
      <c r="Q48" t="inlineStr">
        <is>
          <t>As on 20 November 2026; Ex-Servicemen qualifying service + 3 years</t>
        </is>
      </c>
      <c r="R48" t="inlineStr">
        <is>
          <t>Surveyor, Class-3 – 78</t>
        </is>
      </c>
      <c r="S48" t="inlineStr">
        <is>
          <t>Surveyor – Diploma in Civil Engineering or equivalent (13 recognised variants) or ITI Surveyor certificate; basic computer knowledge; Gujarati/Hindi proficiency. B.E. Civil degree holders are excluded.</t>
        </is>
      </c>
      <c r="T48" t="inlineStr">
        <is>
          <t>UR 35 (women 11) · EWS 9 (women 3) · SC 4 (women 1) · ST 10 (women 3) · SEBC 20 (women 6); Ex-Servicemen 7</t>
        </is>
      </c>
      <c r="U48" t="inlineStr">
        <is>
          <t>₹26,000/month fixed for first 5 years, then Level 4 (₹25,500–₹81,100)</t>
        </is>
      </c>
      <c r="V48" t="inlineStr">
        <is>
          <t>Competitive MCQ exam (210 questions, 210 marks, 3 hours, 0.25 negative marking)
Document verification
Physical standards &amp; walking test (at appointment)</t>
        </is>
      </c>
      <c r="W48" t="inlineStr">
        <is>
          <t>Apply online: https://ojas.gujarat.gov.in/
GSSSB official website: https://gsssb.gujarat.gov.in/</t>
        </is>
      </c>
      <c r="AA48" t="inlineStr">
        <is>
          <t>No</t>
        </is>
      </c>
    </row>
    <row r="49">
      <c r="A49" t="n">
        <v>48</v>
      </c>
      <c r="B49" t="inlineStr">
        <is>
          <t>RIMS Ranchi Operational Manager, Floor Co-ordinator &amp; Ayushman Mitra Recruitment 2026</t>
        </is>
      </c>
      <c r="C49" t="inlineStr">
        <is>
          <t>Rajendra Institute of Medical Sciences (RIMS), Ranchi</t>
        </is>
      </c>
      <c r="E49" t="n">
        <v>113</v>
      </c>
      <c r="F49" t="inlineStr">
        <is>
          <t>30 Oct 2026</t>
        </is>
      </c>
      <c r="G49" t="inlineStr">
        <is>
          <t>Walk-in (date to be announced)</t>
        </is>
      </c>
      <c r="H49" t="inlineStr">
        <is>
          <t>Walk-in interview date to be announced</t>
        </is>
      </c>
      <c r="I49" t="inlineStr">
        <is>
          <t>Open</t>
        </is>
      </c>
      <c r="J49" t="inlineStr">
        <is>
          <t>Not applicable</t>
        </is>
      </c>
      <c r="K49" t="inlineStr">
        <is>
          <t>Not applicable (walk-in interview)</t>
        </is>
      </c>
      <c r="L49" t="inlineStr">
        <is>
          <t>Walk-in interview: date to be announced
Reporting time: 9:30 AM – 11:00 AM</t>
        </is>
      </c>
      <c r="M49" t="inlineStr">
        <is>
          <t>Not specified</t>
        </is>
      </c>
      <c r="N49" t="inlineStr">
        <is>
          <t>Not applicable (walk-in)</t>
        </is>
      </c>
      <c r="O49" t="inlineStr">
        <is>
          <t>Not specified</t>
        </is>
      </c>
      <c r="P49" t="inlineStr">
        <is>
          <t>General 40; ST/SC 45; BC-I/BC-II 42 (years); women +3</t>
        </is>
      </c>
      <c r="Q49" t="inlineStr">
        <is>
          <t>Government employees get additional 5–10 year relaxation by category</t>
        </is>
      </c>
      <c r="R49" t="inlineStr">
        <is>
          <t>Operational Manager – Health Insurance – 1
Floor Co-ordinator – 12
Ayushman Mitra – 100</t>
        </is>
      </c>
      <c r="S49" t="inlineStr">
        <is>
          <t>Operational Manager – MBA in Healthcare / Master's in Health + 5 yrs relevant experience
Floor Co-ordinator – Graduate + 2 yrs experience + 1-yr computer certificate
Ayushman Mitra – Class 12 pass + 6-month DCA certificate</t>
        </is>
      </c>
      <c r="T49" t="inlineStr">
        <is>
          <t>Floor Co-ordinator: UR 5, ST 3, SC 1, BC-I 1, BC-II 1, EWS 1
Ayushman Mitra: UR 40, ST 26, SC 10, BC-I 8, BC-II 6, EWS 10</t>
        </is>
      </c>
      <c r="U49" t="inlineStr">
        <is>
          <t>Operational Manager – ₹75,000/month
Floor Co-ordinator – ₹30,000/month
Ayushman Mitra – ₹120 per successful case</t>
        </is>
      </c>
      <c r="V49" t="inlineStr">
        <is>
          <t>Application submission at venue
Document verification
Walk-in interview</t>
        </is>
      </c>
      <c r="W49" t="inlineStr">
        <is>
          <t>Notification (PDF): https://img2.freejobalert.com/news/2026/10/41258-6ae4191ea2a5f44903053.pdf
RIMS official website: https://rimsranchi.ac.in/</t>
        </is>
      </c>
      <c r="AA49" t="inlineStr">
        <is>
          <t>No</t>
        </is>
      </c>
    </row>
  </sheetData>
  <autoFilter ref="A1:AA31"/>
  <conditionalFormatting sqref="I2:I31">
    <cfRule type="cellIs" priority="2" operator="equal" dxfId="2">
      <formula>"Open"</formula>
    </cfRule>
    <cfRule type="cellIs" priority="3" operator="equal" dxfId="1">
      <formula>"Closed"</formula>
    </cfRule>
  </conditionalFormatting>
  <dataValidations count="1">
    <dataValidation sqref="AA2:AA31" showDropDown="0" showInputMessage="0" showErrorMessage="0" allowBlank="1" type="list">
      <formula1>"No,Writing,Done"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" sqref="A1"/>
    </sheetView>
  </sheetViews>
  <sheetFormatPr baseColWidth="8" defaultColWidth="8.6640625" defaultRowHeight="14.4"/>
  <cols>
    <col width="44" customWidth="1" min="1" max="2"/>
    <col width="11" customWidth="1" min="3" max="3"/>
    <col width="60" customWidth="1" min="4" max="4"/>
  </cols>
  <sheetData>
    <row r="1" ht="33.75" customHeight="1">
      <c r="A1" s="6" t="inlineStr">
        <is>
          <t>Job</t>
        </is>
      </c>
      <c r="B1" s="6" t="inlineStr">
        <is>
          <t>Post / trade / subject</t>
        </is>
      </c>
      <c r="C1" s="6" t="inlineStr">
        <is>
          <t>Vacancies</t>
        </is>
      </c>
      <c r="D1" s="6" t="inlineStr">
        <is>
          <t>Eligibility (short)</t>
        </is>
      </c>
    </row>
    <row r="2" ht="26.4" customHeight="1">
      <c r="A2" s="8" t="inlineStr">
        <is>
          <t>Indian Army TGC-145 (July 2027 batch) Online Form 2026</t>
        </is>
      </c>
      <c r="B2" s="8" t="inlineStr">
        <is>
          <t>Civil / Building Construction</t>
        </is>
      </c>
      <c r="C2" s="8" t="n">
        <v>8</v>
      </c>
      <c r="D2" s="8" t="inlineStr">
        <is>
          <t>B.E./B.Tech in branch (final-year can apply)</t>
        </is>
      </c>
    </row>
    <row r="3" ht="26.4" customHeight="1">
      <c r="A3" s="8" t="inlineStr">
        <is>
          <t>Indian Army TGC-145 (July 2027 batch) Online Form 2026</t>
        </is>
      </c>
      <c r="B3" s="8" t="inlineStr">
        <is>
          <t>Computer Science / IT / M.Sc CS</t>
        </is>
      </c>
      <c r="C3" s="8" t="n">
        <v>6</v>
      </c>
      <c r="D3" s="8" t="inlineStr">
        <is>
          <t>B.E./B.Tech or M.Sc in branch</t>
        </is>
      </c>
    </row>
    <row r="4" ht="26.4" customHeight="1">
      <c r="A4" s="8" t="inlineStr">
        <is>
          <t>Indian Army TGC-145 (July 2027 batch) Online Form 2026</t>
        </is>
      </c>
      <c r="B4" s="8" t="inlineStr">
        <is>
          <t>Mechanical / Production / Automobile</t>
        </is>
      </c>
      <c r="C4" s="8" t="n">
        <v>6</v>
      </c>
      <c r="D4" s="8" t="inlineStr">
        <is>
          <t>B.E./B.Tech in branch</t>
        </is>
      </c>
    </row>
    <row r="5" ht="26.4" customHeight="1">
      <c r="A5" s="8" t="inlineStr">
        <is>
          <t>Indian Army TGC-145 (July 2027 batch) Online Form 2026</t>
        </is>
      </c>
      <c r="B5" s="8" t="inlineStr">
        <is>
          <t>Electronics &amp; Telecom</t>
        </is>
      </c>
      <c r="C5" s="8" t="n">
        <v>6</v>
      </c>
      <c r="D5" s="8" t="inlineStr">
        <is>
          <t>B.E./B.Tech in branch</t>
        </is>
      </c>
    </row>
    <row r="6" ht="26.4" customHeight="1">
      <c r="A6" s="8" t="inlineStr">
        <is>
          <t>Indian Army TGC-145 (July 2027 batch) Online Form 2026</t>
        </is>
      </c>
      <c r="B6" s="8" t="inlineStr">
        <is>
          <t>Electrical / EEE</t>
        </is>
      </c>
      <c r="C6" s="8" t="n">
        <v>2</v>
      </c>
      <c r="D6" s="8" t="inlineStr">
        <is>
          <t>B.E./B.Tech in branch</t>
        </is>
      </c>
    </row>
    <row r="7" ht="26.4" customHeight="1">
      <c r="A7" s="8" t="inlineStr">
        <is>
          <t>Indian Army TGC-145 (July 2027 batch) Online Form 2026</t>
        </is>
      </c>
      <c r="B7" s="8" t="inlineStr">
        <is>
          <t>Misc. engineering streams</t>
        </is>
      </c>
      <c r="C7" s="8" t="n">
        <v>2</v>
      </c>
      <c r="D7" s="8" t="inlineStr">
        <is>
          <t>B.E./B.Tech in branch</t>
        </is>
      </c>
    </row>
    <row r="8">
      <c r="A8" s="8" t="inlineStr">
        <is>
          <t>NTA UGC NET December 2026 Online Form</t>
        </is>
      </c>
      <c r="B8" s="8" t="inlineStr">
        <is>
          <t>JRF / Assistant Professor / PhD admission</t>
        </is>
      </c>
      <c r="C8" s="8" t="inlineStr">
        <is>
          <t>—</t>
        </is>
      </c>
      <c r="D8" s="8" t="inlineStr">
        <is>
          <t>Master’s degree with 55% (50% for reserved)</t>
        </is>
      </c>
    </row>
    <row r="9">
      <c r="A9" s="8" t="inlineStr">
        <is>
          <t>LIC Housing Finance Apprentice Recruitment 2026</t>
        </is>
      </c>
      <c r="B9" s="8" t="inlineStr">
        <is>
          <t>Apprentice</t>
        </is>
      </c>
      <c r="C9" s="8" t="n">
        <v>232</v>
      </c>
      <c r="D9" s="8" t="inlineStr">
        <is>
          <t>Graduate in any stream</t>
        </is>
      </c>
    </row>
    <row r="10">
      <c r="A10" s="8" t="inlineStr">
        <is>
          <t>BPSC School Teacher TRE 4.0 Recruitment 2026</t>
        </is>
      </c>
      <c r="B10" s="8" t="inlineStr">
        <is>
          <t>Primary teacher (Class 1–5)</t>
        </is>
      </c>
      <c r="C10" s="8" t="n">
        <v>3847</v>
      </c>
      <c r="D10" s="8" t="inlineStr">
        <is>
          <t>12th + D.El.Ed/B.El.Ed + STET/CTET Paper I</t>
        </is>
      </c>
    </row>
    <row r="11">
      <c r="A11" s="8" t="inlineStr">
        <is>
          <t>BPSC School Teacher TRE 4.0 Recruitment 2026</t>
        </is>
      </c>
      <c r="B11" s="8" t="inlineStr">
        <is>
          <t>Middle school teacher (Class 6–8)</t>
        </is>
      </c>
      <c r="C11" s="8" t="n">
        <v>8563</v>
      </c>
      <c r="D11" s="8" t="inlineStr">
        <is>
          <t>Graduate + D.El.Ed/B.Ed + CTET/STET Paper II</t>
        </is>
      </c>
    </row>
    <row r="12">
      <c r="A12" s="8" t="inlineStr">
        <is>
          <t>BPSC School Teacher TRE 4.0 Recruitment 2026</t>
        </is>
      </c>
      <c r="B12" s="8" t="inlineStr">
        <is>
          <t>Secondary teacher (Class 9–10)</t>
        </is>
      </c>
      <c r="C12" s="8" t="n">
        <v>4370</v>
      </c>
      <c r="D12" s="8" t="inlineStr">
        <is>
          <t>Graduate/PG in subject + B.Ed + STET</t>
        </is>
      </c>
    </row>
    <row r="13">
      <c r="A13" s="8" t="inlineStr">
        <is>
          <t>BPSC School Teacher TRE 4.0 Recruitment 2026</t>
        </is>
      </c>
      <c r="B13" s="8" t="inlineStr">
        <is>
          <t>Senior secondary teacher (Class 11–12)</t>
        </is>
      </c>
      <c r="C13" s="8" t="n">
        <v>16540</v>
      </c>
      <c r="D13" s="8" t="inlineStr">
        <is>
          <t>PG in subject + B.Ed + STET</t>
        </is>
      </c>
    </row>
    <row r="14" ht="26.4" customHeight="1">
      <c r="A14" s="8" t="inlineStr">
        <is>
          <t>DSSSB Delhi District Courts Various Post Recruitment 2026</t>
        </is>
      </c>
      <c r="B14" s="8" t="inlineStr">
        <is>
          <t>Personal Assistant (District Courts)</t>
        </is>
      </c>
      <c r="C14" s="8" t="n">
        <v>189</v>
      </c>
      <c r="D14" s="8" t="inlineStr">
        <is>
          <t>See Eligibility column on Latest Jobs</t>
        </is>
      </c>
    </row>
    <row r="15" ht="26.4" customHeight="1">
      <c r="A15" s="8" t="inlineStr">
        <is>
          <t>DSSSB Delhi District Courts Various Post Recruitment 2026</t>
        </is>
      </c>
      <c r="B15" s="8" t="inlineStr">
        <is>
          <t>Junior Judicial Assistant (District Courts)</t>
        </is>
      </c>
      <c r="C15" s="8" t="n">
        <v>151</v>
      </c>
      <c r="D15" s="8" t="inlineStr">
        <is>
          <t>See Eligibility column on Latest Jobs</t>
        </is>
      </c>
    </row>
    <row r="16" ht="26.4" customHeight="1">
      <c r="A16" s="8" t="inlineStr">
        <is>
          <t>DSSSB Delhi District Courts Various Post Recruitment 2026</t>
        </is>
      </c>
      <c r="B16" s="8" t="inlineStr">
        <is>
          <t>Peon / Orderly / Dak Peon (District Courts)</t>
        </is>
      </c>
      <c r="C16" s="8" t="n">
        <v>139</v>
      </c>
      <c r="D16" s="8" t="inlineStr">
        <is>
          <t>See Eligibility column on Latest Jobs</t>
        </is>
      </c>
    </row>
    <row r="17" ht="26.4" customHeight="1">
      <c r="A17" s="8" t="inlineStr">
        <is>
          <t>DSSSB Delhi District Courts Various Post Recruitment 2026</t>
        </is>
      </c>
      <c r="B17" s="8" t="inlineStr">
        <is>
          <t>Process Server (District Courts)</t>
        </is>
      </c>
      <c r="C17" s="8" t="n">
        <v>91</v>
      </c>
      <c r="D17" s="8" t="inlineStr">
        <is>
          <t>See Eligibility column on Latest Jobs</t>
        </is>
      </c>
    </row>
    <row r="18" ht="26.4" customHeight="1">
      <c r="A18" s="8" t="inlineStr">
        <is>
          <t>DSSSB Delhi District Courts Various Post Recruitment 2026</t>
        </is>
      </c>
      <c r="B18" s="8" t="inlineStr">
        <is>
          <t>Senior Personal Assistant (District Courts)</t>
        </is>
      </c>
      <c r="C18" s="8" t="n">
        <v>27</v>
      </c>
      <c r="D18" s="8" t="inlineStr">
        <is>
          <t>See Eligibility column on Latest Jobs</t>
        </is>
      </c>
    </row>
    <row r="19" ht="26.4" customHeight="1">
      <c r="A19" s="8" t="inlineStr">
        <is>
          <t>DSSSB Delhi District Courts Various Post Recruitment 2026</t>
        </is>
      </c>
      <c r="B19" s="8" t="inlineStr">
        <is>
          <t>Junior Judicial Assistant (Family Courts)</t>
        </is>
      </c>
      <c r="C19" s="8" t="n">
        <v>23</v>
      </c>
      <c r="D19" s="8" t="inlineStr">
        <is>
          <t>See Eligibility column on Latest Jobs</t>
        </is>
      </c>
    </row>
    <row r="20" ht="26.4" customHeight="1">
      <c r="A20" s="8" t="inlineStr">
        <is>
          <t>DSSSB Delhi District Courts Various Post Recruitment 2026</t>
        </is>
      </c>
      <c r="B20" s="8" t="inlineStr">
        <is>
          <t>Personal Assistant (Family Courts)</t>
        </is>
      </c>
      <c r="C20" s="8" t="n">
        <v>17</v>
      </c>
      <c r="D20" s="8" t="inlineStr">
        <is>
          <t>See Eligibility column on Latest Jobs</t>
        </is>
      </c>
    </row>
    <row r="21" ht="26.4" customHeight="1">
      <c r="A21" s="8" t="inlineStr">
        <is>
          <t>DSSSB Delhi District Courts Various Post Recruitment 2026</t>
        </is>
      </c>
      <c r="B21" s="8" t="inlineStr">
        <is>
          <t>Peon / Orderly (Family Courts)</t>
        </is>
      </c>
      <c r="C21" s="8" t="n">
        <v>3</v>
      </c>
      <c r="D21" s="8" t="inlineStr">
        <is>
          <t>See Eligibility column on Latest Jobs</t>
        </is>
      </c>
    </row>
    <row r="22" ht="26.4" customHeight="1">
      <c r="A22" s="8" t="inlineStr">
        <is>
          <t>DSSSB Delhi District Courts Various Post Recruitment 2026</t>
        </is>
      </c>
      <c r="B22" s="8" t="inlineStr">
        <is>
          <t>Process Server (Family Courts)</t>
        </is>
      </c>
      <c r="C22" s="8" t="n">
        <v>1</v>
      </c>
      <c r="D22" s="8" t="inlineStr">
        <is>
          <t>See Eligibility column on Latest Jobs</t>
        </is>
      </c>
    </row>
    <row r="23" ht="26.4" customHeight="1">
      <c r="A23" s="8" t="inlineStr">
        <is>
          <t>UPESSC UP Assistant Teacher (Primary) Recruitment 2026</t>
        </is>
      </c>
      <c r="B23" s="8" t="inlineStr">
        <is>
          <t>Assistant Teacher – urban primary schools</t>
        </is>
      </c>
      <c r="C23" s="8" t="n">
        <v>11508</v>
      </c>
      <c r="D23" s="8" t="inlineStr">
        <is>
          <t>Graduate + D.El.Ed/BTC or B.El.Ed</t>
        </is>
      </c>
    </row>
    <row r="24" ht="26.4" customHeight="1">
      <c r="A24" s="8" t="inlineStr">
        <is>
          <t>UPESSC UP Assistant Teacher (Primary) Recruitment 2026</t>
        </is>
      </c>
      <c r="B24" s="8" t="inlineStr">
        <is>
          <t>Assistant Teacher – aided primary schools</t>
        </is>
      </c>
      <c r="C24" s="8" t="n">
        <v>897</v>
      </c>
      <c r="D24" s="8" t="inlineStr">
        <is>
          <t>Graduate + D.El.Ed/BTC or B.El.Ed + Primary TET</t>
        </is>
      </c>
    </row>
    <row r="25">
      <c r="A25" s="8" t="inlineStr">
        <is>
          <t>TNPSC Group IV (CCSE-IV) Recruitment 2026</t>
        </is>
      </c>
      <c r="B25" s="8" t="inlineStr">
        <is>
          <t>Junior Assistant (Non-Security) – 2600</t>
        </is>
      </c>
      <c r="C25" s="8" t="n">
        <v>2610</v>
      </c>
      <c r="D25" s="8" t="inlineStr">
        <is>
          <t>See Eligibility column on Latest Jobs</t>
        </is>
      </c>
    </row>
    <row r="26">
      <c r="A26" s="8" t="inlineStr">
        <is>
          <t>TNPSC Group IV (CCSE-IV) Recruitment 2026</t>
        </is>
      </c>
      <c r="B26" s="8" t="inlineStr">
        <is>
          <t>Typist – 2200</t>
        </is>
      </c>
      <c r="C26" s="8" t="n">
        <v>856</v>
      </c>
      <c r="D26" s="8" t="inlineStr">
        <is>
          <t>See Eligibility column on Latest Jobs</t>
        </is>
      </c>
    </row>
    <row r="27">
      <c r="A27" s="8" t="inlineStr">
        <is>
          <t>TNPSC Group IV (CCSE-IV) Recruitment 2026</t>
        </is>
      </c>
      <c r="B27" s="8" t="inlineStr">
        <is>
          <t>Junior Assistant (Accounts) – 3848</t>
        </is>
      </c>
      <c r="C27" s="8" t="n">
        <v>422</v>
      </c>
      <c r="D27" s="8" t="inlineStr">
        <is>
          <t>See Eligibility column on Latest Jobs</t>
        </is>
      </c>
    </row>
    <row r="28">
      <c r="A28" s="8" t="inlineStr">
        <is>
          <t>TNPSC Group IV (CCSE-IV) Recruitment 2026</t>
        </is>
      </c>
      <c r="B28" s="8" t="inlineStr">
        <is>
          <t>Typist – 4200</t>
        </is>
      </c>
      <c r="C28" s="8" t="n">
        <v>377</v>
      </c>
      <c r="D28" s="8" t="inlineStr">
        <is>
          <t>See Eligibility column on Latest Jobs</t>
        </is>
      </c>
    </row>
    <row r="29">
      <c r="A29" s="8" t="inlineStr">
        <is>
          <t>TNPSC Group IV (CCSE-IV) Recruitment 2026</t>
        </is>
      </c>
      <c r="B29" s="8" t="inlineStr">
        <is>
          <t>Village Administrative Officer – 2025</t>
        </is>
      </c>
      <c r="C29" s="8" t="n">
        <v>291</v>
      </c>
      <c r="D29" s="8" t="inlineStr">
        <is>
          <t>See Eligibility column on Latest Jobs</t>
        </is>
      </c>
    </row>
    <row r="30">
      <c r="A30" s="8" t="inlineStr">
        <is>
          <t>TNPSC Group IV (CCSE-IV) Recruitment 2026</t>
        </is>
      </c>
      <c r="B30" s="8" t="inlineStr">
        <is>
          <t>Typist – 3844</t>
        </is>
      </c>
      <c r="C30" s="8" t="n">
        <v>260</v>
      </c>
      <c r="D30" s="8" t="inlineStr">
        <is>
          <t>See Eligibility column on Latest Jobs</t>
        </is>
      </c>
    </row>
    <row r="31">
      <c r="A31" s="8" t="inlineStr">
        <is>
          <t>TNPSC Group IV (CCSE-IV) Recruitment 2026</t>
        </is>
      </c>
      <c r="B31" s="8" t="inlineStr">
        <is>
          <t>Junior Assistant (Non-Security) – 4600</t>
        </is>
      </c>
      <c r="C31" s="8" t="n">
        <v>252</v>
      </c>
      <c r="D31" s="8" t="inlineStr">
        <is>
          <t>See Eligibility column on Latest Jobs</t>
        </is>
      </c>
    </row>
    <row r="32">
      <c r="A32" s="8" t="inlineStr">
        <is>
          <t>TNPSC Group IV (CCSE-IV) Recruitment 2026</t>
        </is>
      </c>
      <c r="B32" s="8" t="inlineStr">
        <is>
          <t>Steno-Typist Gr III – 2300</t>
        </is>
      </c>
      <c r="C32" s="8" t="n">
        <v>209</v>
      </c>
      <c r="D32" s="8" t="inlineStr">
        <is>
          <t>See Eligibility column on Latest Jobs</t>
        </is>
      </c>
    </row>
    <row r="33">
      <c r="A33" s="8" t="inlineStr">
        <is>
          <t>TNPSC Group IV (CCSE-IV) Recruitment 2026</t>
        </is>
      </c>
      <c r="B33" s="8" t="inlineStr">
        <is>
          <t>Steno-Typist Gr III – 4300</t>
        </is>
      </c>
      <c r="C33" s="8" t="n">
        <v>145</v>
      </c>
      <c r="D33" s="8" t="inlineStr">
        <is>
          <t>See Eligibility column on Latest Jobs</t>
        </is>
      </c>
    </row>
    <row r="34">
      <c r="A34" s="8" t="inlineStr">
        <is>
          <t>TNPSC Group IV (CCSE-IV) Recruitment 2026</t>
        </is>
      </c>
      <c r="B34" s="8" t="inlineStr">
        <is>
          <t>Other posts (see notification)</t>
        </is>
      </c>
      <c r="C34" s="8" t="n">
        <v>1152</v>
      </c>
      <c r="D34" s="8" t="inlineStr">
        <is>
          <t>See Eligibility column on Latest Jobs</t>
        </is>
      </c>
    </row>
    <row r="35">
      <c r="A35" s="8" t="inlineStr">
        <is>
          <t>RRB NTPC Graduate Level Recruitment 2026</t>
        </is>
      </c>
      <c r="B35" s="8" t="inlineStr">
        <is>
          <t>NTPC Graduate Level posts (all)</t>
        </is>
      </c>
      <c r="C35" s="8" t="n">
        <v>3477</v>
      </c>
      <c r="D35" s="8" t="inlineStr">
        <is>
          <t>See Eligibility column on Latest Jobs</t>
        </is>
      </c>
    </row>
    <row r="36">
      <c r="A36" s="8" t="inlineStr">
        <is>
          <t>RRC NWR Act Apprentice Recruitment 2026</t>
        </is>
      </c>
      <c r="B36" s="8" t="inlineStr">
        <is>
          <t>General</t>
        </is>
      </c>
      <c r="C36" s="8" t="n">
        <v>845</v>
      </c>
      <c r="D36" s="8" t="inlineStr">
        <is>
          <t>10th pass with at least 50% marks + ITI in the relevant trade</t>
        </is>
      </c>
    </row>
    <row r="37">
      <c r="A37" s="8" t="inlineStr">
        <is>
          <t>RRC NWR Act Apprentice Recruitment 2026</t>
        </is>
      </c>
      <c r="B37" s="8" t="inlineStr">
        <is>
          <t>OBC</t>
        </is>
      </c>
      <c r="C37" s="8" t="n">
        <v>543</v>
      </c>
      <c r="D37" s="8" t="inlineStr">
        <is>
          <t>10th pass with at least 50% marks + ITI in the relevant trade</t>
        </is>
      </c>
    </row>
    <row r="38">
      <c r="A38" s="8" t="inlineStr">
        <is>
          <t>RRC NWR Act Apprentice Recruitment 2026</t>
        </is>
      </c>
      <c r="B38" s="8" t="inlineStr">
        <is>
          <t>EWS</t>
        </is>
      </c>
      <c r="C38" s="8" t="n">
        <v>182</v>
      </c>
      <c r="D38" s="8" t="inlineStr">
        <is>
          <t>10th pass with at least 50% marks + ITI in the relevant trade</t>
        </is>
      </c>
    </row>
    <row r="39">
      <c r="A39" s="8" t="inlineStr">
        <is>
          <t>RRC NWR Act Apprentice Recruitment 2026</t>
        </is>
      </c>
      <c r="B39" s="8" t="inlineStr">
        <is>
          <t>SC</t>
        </is>
      </c>
      <c r="C39" s="8" t="n">
        <v>295</v>
      </c>
      <c r="D39" s="8" t="inlineStr">
        <is>
          <t>10th pass with at least 50% marks + ITI in the relevant trade</t>
        </is>
      </c>
    </row>
    <row r="40">
      <c r="A40" s="8" t="inlineStr">
        <is>
          <t>RRC NWR Act Apprentice Recruitment 2026</t>
        </is>
      </c>
      <c r="B40" s="8" t="inlineStr">
        <is>
          <t>ST</t>
        </is>
      </c>
      <c r="C40" s="8" t="n">
        <v>143</v>
      </c>
      <c r="D40" s="8" t="inlineStr">
        <is>
          <t>10th pass with at least 50% marks + ITI in the relevant trade</t>
        </is>
      </c>
    </row>
    <row r="41">
      <c r="A41" s="8" t="inlineStr">
        <is>
          <t>NLC Apprentice Recruitment 2026</t>
        </is>
      </c>
      <c r="B41" s="8" t="inlineStr">
        <is>
          <t>ITI Trade Apprentice (10 trades)</t>
        </is>
      </c>
      <c r="C41" s="8" t="n">
        <v>700</v>
      </c>
      <c r="D41" s="8" t="inlineStr">
        <is>
          <t>See Eligibility column on Latest Jobs</t>
        </is>
      </c>
    </row>
    <row r="42">
      <c r="A42" s="8" t="inlineStr">
        <is>
          <t>NLC Apprentice Recruitment 2026</t>
        </is>
      </c>
      <c r="B42" s="8" t="inlineStr">
        <is>
          <t>Graduate (Non-Engg) Apprentice</t>
        </is>
      </c>
      <c r="C42" s="8" t="n">
        <v>367</v>
      </c>
      <c r="D42" s="8" t="inlineStr">
        <is>
          <t>See Eligibility column on Latest Jobs</t>
        </is>
      </c>
    </row>
    <row r="43">
      <c r="A43" s="8" t="inlineStr">
        <is>
          <t>GSSSB Food Safety Officer Recruitment 2026</t>
        </is>
      </c>
      <c r="B43" s="8" t="inlineStr">
        <is>
          <t>Unreserved</t>
        </is>
      </c>
      <c r="C43" s="8" t="n">
        <v>40</v>
      </c>
      <c r="D43" s="8" t="inlineStr">
        <is>
          <t>See Eligibility column on Latest Jobs</t>
        </is>
      </c>
    </row>
    <row r="44">
      <c r="A44" s="8" t="inlineStr">
        <is>
          <t>GSSSB Food Safety Officer Recruitment 2026</t>
        </is>
      </c>
      <c r="B44" s="8" t="inlineStr">
        <is>
          <t>EWS</t>
        </is>
      </c>
      <c r="C44" s="8" t="n">
        <v>8</v>
      </c>
      <c r="D44" s="8" t="inlineStr">
        <is>
          <t>See Eligibility column on Latest Jobs</t>
        </is>
      </c>
    </row>
    <row r="45">
      <c r="A45" s="8" t="inlineStr">
        <is>
          <t>GSSSB Food Safety Officer Recruitment 2026</t>
        </is>
      </c>
      <c r="B45" s="8" t="inlineStr">
        <is>
          <t>SEBC</t>
        </is>
      </c>
      <c r="C45" s="8" t="n">
        <v>19</v>
      </c>
      <c r="D45" s="8" t="inlineStr">
        <is>
          <t>See Eligibility column on Latest Jobs</t>
        </is>
      </c>
    </row>
    <row r="46">
      <c r="A46" s="8" t="inlineStr">
        <is>
          <t>GSSSB Food Safety Officer Recruitment 2026</t>
        </is>
      </c>
      <c r="B46" s="8" t="inlineStr">
        <is>
          <t>SC</t>
        </is>
      </c>
      <c r="C46" s="8" t="n">
        <v>7</v>
      </c>
      <c r="D46" s="8" t="inlineStr">
        <is>
          <t>See Eligibility column on Latest Jobs</t>
        </is>
      </c>
    </row>
    <row r="47">
      <c r="A47" s="8" t="inlineStr">
        <is>
          <t>GSSSB Food Safety Officer Recruitment 2026</t>
        </is>
      </c>
      <c r="B47" s="8" t="inlineStr">
        <is>
          <t>ST</t>
        </is>
      </c>
      <c r="C47" s="8" t="n">
        <v>10</v>
      </c>
      <c r="D47" s="8" t="inlineStr">
        <is>
          <t>See Eligibility column on Latest Jobs</t>
        </is>
      </c>
    </row>
    <row r="48" ht="26.4" customHeight="1">
      <c r="A48" s="8" t="inlineStr">
        <is>
          <t>Indian Army 10+2 Technical Entry Scheme (TES-57) 2026</t>
        </is>
      </c>
      <c r="B48" s="8" t="inlineStr">
        <is>
          <t>TES-57 (men)</t>
        </is>
      </c>
      <c r="C48" s="8" t="n">
        <v>90</v>
      </c>
      <c r="D48" s="8" t="inlineStr">
        <is>
          <t>12th with PCM, minimum 60% aggregate + JEE Main 2026 appeared</t>
        </is>
      </c>
    </row>
    <row r="49" ht="26.4" customHeight="1">
      <c r="A49" s="8" t="inlineStr">
        <is>
          <t>ISRO URSC Technician-B &amp; Driver Recruitment 2026</t>
        </is>
      </c>
      <c r="B49" s="8" t="inlineStr">
        <is>
          <t>Technician-B Electronics Mechanic</t>
        </is>
      </c>
      <c r="C49" s="8" t="n">
        <v>24</v>
      </c>
      <c r="D49" s="8" t="inlineStr">
        <is>
          <t>See Eligibility column on Latest Jobs</t>
        </is>
      </c>
    </row>
    <row r="50" ht="26.4" customHeight="1">
      <c r="A50" s="8" t="inlineStr">
        <is>
          <t>ISRO URSC Technician-B &amp; Driver Recruitment 2026</t>
        </is>
      </c>
      <c r="B50" s="8" t="inlineStr">
        <is>
          <t>Technician-B Fitter</t>
        </is>
      </c>
      <c r="C50" s="8" t="n">
        <v>8</v>
      </c>
      <c r="D50" s="8" t="inlineStr">
        <is>
          <t>See Eligibility column on Latest Jobs</t>
        </is>
      </c>
    </row>
    <row r="51" ht="26.4" customHeight="1">
      <c r="A51" s="8" t="inlineStr">
        <is>
          <t>ISRO URSC Technician-B &amp; Driver Recruitment 2026</t>
        </is>
      </c>
      <c r="B51" s="8" t="inlineStr">
        <is>
          <t>Technician-B Electrician</t>
        </is>
      </c>
      <c r="C51" s="8" t="n">
        <v>4</v>
      </c>
      <c r="D51" s="8" t="inlineStr">
        <is>
          <t>See Eligibility column on Latest Jobs</t>
        </is>
      </c>
    </row>
    <row r="52" ht="26.4" customHeight="1">
      <c r="A52" s="8" t="inlineStr">
        <is>
          <t>ISRO URSC Technician-B &amp; Driver Recruitment 2026</t>
        </is>
      </c>
      <c r="B52" s="8" t="inlineStr">
        <is>
          <t>Technician-B Refrigeration &amp; AC</t>
        </is>
      </c>
      <c r="C52" s="8" t="n">
        <v>5</v>
      </c>
      <c r="D52" s="8" t="inlineStr">
        <is>
          <t>See Eligibility column on Latest Jobs</t>
        </is>
      </c>
    </row>
    <row r="53" ht="26.4" customHeight="1">
      <c r="A53" s="8" t="inlineStr">
        <is>
          <t>ISRO URSC Technician-B &amp; Driver Recruitment 2026</t>
        </is>
      </c>
      <c r="B53" s="8" t="inlineStr">
        <is>
          <t>Technician-B Turner</t>
        </is>
      </c>
      <c r="C53" s="8" t="n">
        <v>1</v>
      </c>
      <c r="D53" s="8" t="inlineStr">
        <is>
          <t>See Eligibility column on Latest Jobs</t>
        </is>
      </c>
    </row>
    <row r="54" ht="26.4" customHeight="1">
      <c r="A54" s="8" t="inlineStr">
        <is>
          <t>ISRO URSC Technician-B &amp; Driver Recruitment 2026</t>
        </is>
      </c>
      <c r="B54" s="8" t="inlineStr">
        <is>
          <t>Technician-B Machinist</t>
        </is>
      </c>
      <c r="C54" s="8" t="n">
        <v>2</v>
      </c>
      <c r="D54" s="8" t="inlineStr">
        <is>
          <t>See Eligibility column on Latest Jobs</t>
        </is>
      </c>
    </row>
    <row r="55" ht="26.4" customHeight="1">
      <c r="A55" s="8" t="inlineStr">
        <is>
          <t>ISRO URSC Technician-B &amp; Driver Recruitment 2026</t>
        </is>
      </c>
      <c r="B55" s="8" t="inlineStr">
        <is>
          <t>Technician-B Motor Vehicle Mechanic</t>
        </is>
      </c>
      <c r="C55" s="8" t="n">
        <v>1</v>
      </c>
      <c r="D55" s="8" t="inlineStr">
        <is>
          <t>See Eligibility column on Latest Jobs</t>
        </is>
      </c>
    </row>
    <row r="56" ht="26.4" customHeight="1">
      <c r="A56" s="8" t="inlineStr">
        <is>
          <t>ISRO URSC Technician-B &amp; Driver Recruitment 2026</t>
        </is>
      </c>
      <c r="B56" s="8" t="inlineStr">
        <is>
          <t>Technician-B Electroplater</t>
        </is>
      </c>
      <c r="C56" s="8" t="n">
        <v>1</v>
      </c>
      <c r="D56" s="8" t="inlineStr">
        <is>
          <t>See Eligibility column on Latest Jobs</t>
        </is>
      </c>
    </row>
    <row r="57" ht="26.4" customHeight="1">
      <c r="A57" s="8" t="inlineStr">
        <is>
          <t>ISRO URSC Technician-B &amp; Driver Recruitment 2026</t>
        </is>
      </c>
      <c r="B57" s="8" t="inlineStr">
        <is>
          <t>Light Vehicle Driver-A</t>
        </is>
      </c>
      <c r="C57" s="8" t="n">
        <v>3</v>
      </c>
      <c r="D57" s="8" t="inlineStr">
        <is>
          <t>See Eligibility column on Latest Jobs</t>
        </is>
      </c>
    </row>
    <row r="58" ht="26.4" customHeight="1">
      <c r="A58" s="8" t="inlineStr">
        <is>
          <t>ISRO URSC Technician-B &amp; Driver Recruitment 2026</t>
        </is>
      </c>
      <c r="B58" s="8" t="inlineStr">
        <is>
          <t>Staff Car Driver-A</t>
        </is>
      </c>
      <c r="C58" s="8" t="n">
        <v>2</v>
      </c>
      <c r="D58" s="8" t="inlineStr">
        <is>
          <t>See Eligibility column on Latest Jobs</t>
        </is>
      </c>
    </row>
    <row r="59" ht="26.4" customHeight="1">
      <c r="A59" s="8" t="inlineStr">
        <is>
          <t>ISRO URSC Technician-B &amp; Driver Recruitment 2026</t>
        </is>
      </c>
      <c r="B59" s="8" t="inlineStr">
        <is>
          <t>Heavy Vehicle Driver-A</t>
        </is>
      </c>
      <c r="C59" s="8" t="n">
        <v>10</v>
      </c>
      <c r="D59" s="8" t="inlineStr">
        <is>
          <t>10th pass + HMV licence + 5 years driving (3 on heavy vehicles) + PSV badge where required</t>
        </is>
      </c>
    </row>
    <row r="60" ht="26.4" customHeight="1">
      <c r="A60" s="8" t="inlineStr">
        <is>
          <t>RRB NTPC 10+2 Under Graduate Level Recruitment 2026</t>
        </is>
      </c>
      <c r="B60" s="8" t="inlineStr">
        <is>
          <t>Commercial cum Ticket Clerk, Train Clerk, Accounts Clerk cum Typist, Junior Clerk cum Typist</t>
        </is>
      </c>
      <c r="C60" s="8" t="n">
        <v>1688</v>
      </c>
      <c r="D60" s="8" t="inlineStr">
        <is>
          <t>See Eligibility column on Latest Jobs</t>
        </is>
      </c>
    </row>
    <row r="61" ht="26.4" customHeight="1">
      <c r="A61" s="8" t="inlineStr">
        <is>
          <t>CWC Assistant Manager &amp; Junior Executive Recruitment 2026</t>
        </is>
      </c>
      <c r="B61" s="8" t="inlineStr">
        <is>
          <t>Junior Executive (General)</t>
        </is>
      </c>
      <c r="C61" s="8" t="n">
        <v>78</v>
      </c>
      <c r="D61" s="8" t="inlineStr">
        <is>
          <t>See Eligibility column on Latest Jobs</t>
        </is>
      </c>
    </row>
    <row r="62" ht="26.4" customHeight="1">
      <c r="A62" s="8" t="inlineStr">
        <is>
          <t>CWC Assistant Manager &amp; Junior Executive Recruitment 2026</t>
        </is>
      </c>
      <c r="B62" s="8" t="inlineStr">
        <is>
          <t>Junior Executive (Technical)</t>
        </is>
      </c>
      <c r="C62" s="8" t="n">
        <v>78</v>
      </c>
      <c r="D62" s="8" t="inlineStr">
        <is>
          <t>See Eligibility column on Latest Jobs</t>
        </is>
      </c>
    </row>
    <row r="63" ht="26.4" customHeight="1">
      <c r="A63" s="8" t="inlineStr">
        <is>
          <t>CWC Assistant Manager &amp; Junior Executive Recruitment 2026</t>
        </is>
      </c>
      <c r="B63" s="8" t="inlineStr">
        <is>
          <t>Assistant Manager (General)</t>
        </is>
      </c>
      <c r="C63" s="8" t="n">
        <v>70</v>
      </c>
      <c r="D63" s="8" t="inlineStr">
        <is>
          <t>See Eligibility column on Latest Jobs</t>
        </is>
      </c>
    </row>
    <row r="64" ht="26.4" customHeight="1">
      <c r="A64" s="8" t="inlineStr">
        <is>
          <t>CWC Assistant Manager &amp; Junior Executive Recruitment 2026</t>
        </is>
      </c>
      <c r="B64" s="8" t="inlineStr">
        <is>
          <t>Assistant Manager (Technical)</t>
        </is>
      </c>
      <c r="C64" s="8" t="n">
        <v>68</v>
      </c>
      <c r="D64" s="8" t="inlineStr">
        <is>
          <t>See Eligibility column on Latest Jobs</t>
        </is>
      </c>
    </row>
    <row r="65" ht="26.4" customHeight="1">
      <c r="A65" s="8" t="inlineStr">
        <is>
          <t>CWC Assistant Manager &amp; Junior Executive Recruitment 2026</t>
        </is>
      </c>
      <c r="B65" s="8" t="inlineStr">
        <is>
          <t>Assistant Manager (Civil)</t>
        </is>
      </c>
      <c r="C65" s="8" t="n">
        <v>22</v>
      </c>
      <c r="D65" s="8" t="inlineStr">
        <is>
          <t>See Eligibility column on Latest Jobs</t>
        </is>
      </c>
    </row>
    <row r="66" ht="26.4" customHeight="1">
      <c r="A66" s="8" t="inlineStr">
        <is>
          <t>CWC Assistant Manager &amp; Junior Executive Recruitment 2026</t>
        </is>
      </c>
      <c r="B66" s="8" t="inlineStr">
        <is>
          <t>Assistant Manager (Finance)</t>
        </is>
      </c>
      <c r="C66" s="8" t="n">
        <v>10</v>
      </c>
      <c r="D66" s="8" t="inlineStr">
        <is>
          <t>See Eligibility column on Latest Jobs</t>
        </is>
      </c>
    </row>
    <row r="67" ht="26.4" customHeight="1">
      <c r="A67" s="8" t="inlineStr">
        <is>
          <t>CWC Assistant Manager &amp; Junior Executive Recruitment 2026</t>
        </is>
      </c>
      <c r="B67" s="8" t="inlineStr">
        <is>
          <t>Assistant Manager (Electrical)</t>
        </is>
      </c>
      <c r="C67" s="8" t="n">
        <v>5</v>
      </c>
      <c r="D67" s="8" t="inlineStr">
        <is>
          <t>See Eligibility column on Latest Jobs</t>
        </is>
      </c>
    </row>
    <row r="68" ht="26.4" customHeight="1">
      <c r="A68" s="8" t="inlineStr">
        <is>
          <t>CWC Assistant Manager &amp; Junior Executive Recruitment 2026</t>
        </is>
      </c>
      <c r="B68" s="8" t="inlineStr">
        <is>
          <t>Assistant Manager (Mechanical)</t>
        </is>
      </c>
      <c r="C68" s="8" t="n">
        <v>4</v>
      </c>
      <c r="D68" s="8" t="inlineStr">
        <is>
          <t>See Eligibility column on Latest Jobs</t>
        </is>
      </c>
    </row>
    <row r="69" ht="26.4" customHeight="1">
      <c r="A69" s="8" t="inlineStr">
        <is>
          <t>Supreme Court Court Master (Shorthand) Recruitment 2026</t>
        </is>
      </c>
      <c r="B69" s="8" t="inlineStr">
        <is>
          <t>Court Master (Shorthand)</t>
        </is>
      </c>
      <c r="C69" s="8" t="n">
        <v>20</v>
      </c>
      <c r="D69" s="8" t="inlineStr">
        <is>
          <t>Graduate + English shorthand 120 wpm + typing 40 wpm + 5 years experience</t>
        </is>
      </c>
    </row>
    <row r="70">
      <c r="A70" s="8" t="inlineStr">
        <is>
          <t>BEL Probationary Engineer Recruitment 2026</t>
        </is>
      </c>
      <c r="B70" s="8" t="inlineStr">
        <is>
          <t>Probationary Engineer (Electronics)</t>
        </is>
      </c>
      <c r="C70" s="8" t="n">
        <v>200</v>
      </c>
      <c r="D70" s="8" t="inlineStr">
        <is>
          <t>See Eligibility column on Latest Jobs</t>
        </is>
      </c>
    </row>
    <row r="71">
      <c r="A71" s="8" t="inlineStr">
        <is>
          <t>BEL Probationary Engineer Recruitment 2026</t>
        </is>
      </c>
      <c r="B71" s="8" t="inlineStr">
        <is>
          <t>Probationary Engineer (Mechanical)</t>
        </is>
      </c>
      <c r="C71" s="8" t="n">
        <v>150</v>
      </c>
      <c r="D71" s="8" t="inlineStr">
        <is>
          <t>See Eligibility column on Latest Jobs</t>
        </is>
      </c>
    </row>
    <row r="72">
      <c r="A72" s="8" t="inlineStr">
        <is>
          <t>NPCIL Apprentice Recruitment 2026</t>
        </is>
      </c>
      <c r="B72" s="8" t="inlineStr">
        <is>
          <t>Trade – Electrician</t>
        </is>
      </c>
      <c r="C72" s="8" t="n">
        <v>25</v>
      </c>
      <c r="D72" s="8" t="inlineStr">
        <is>
          <t>See Eligibility column on Latest Jobs</t>
        </is>
      </c>
    </row>
    <row r="73">
      <c r="A73" s="8" t="inlineStr">
        <is>
          <t>NPCIL Apprentice Recruitment 2026</t>
        </is>
      </c>
      <c r="B73" s="8" t="inlineStr">
        <is>
          <t>Trade – Fitter</t>
        </is>
      </c>
      <c r="C73" s="8" t="n">
        <v>16</v>
      </c>
      <c r="D73" s="8" t="inlineStr">
        <is>
          <t>See Eligibility column on Latest Jobs</t>
        </is>
      </c>
    </row>
    <row r="74">
      <c r="A74" s="8" t="inlineStr">
        <is>
          <t>NPCIL Apprentice Recruitment 2026</t>
        </is>
      </c>
      <c r="B74" s="8" t="inlineStr">
        <is>
          <t>Trade – Electronics Mechanic</t>
        </is>
      </c>
      <c r="C74" s="8" t="n">
        <v>9</v>
      </c>
      <c r="D74" s="8" t="inlineStr">
        <is>
          <t>See Eligibility column on Latest Jobs</t>
        </is>
      </c>
    </row>
    <row r="75">
      <c r="A75" s="8" t="inlineStr">
        <is>
          <t>NPCIL Apprentice Recruitment 2026</t>
        </is>
      </c>
      <c r="B75" s="8" t="inlineStr">
        <is>
          <t>Diploma – Mechanical</t>
        </is>
      </c>
      <c r="C75" s="8" t="n">
        <v>5</v>
      </c>
      <c r="D75" s="8" t="inlineStr">
        <is>
          <t>See Eligibility column on Latest Jobs</t>
        </is>
      </c>
    </row>
    <row r="76">
      <c r="A76" s="8" t="inlineStr">
        <is>
          <t>NPCIL Apprentice Recruitment 2026</t>
        </is>
      </c>
      <c r="B76" s="8" t="inlineStr">
        <is>
          <t>Diploma – Electrical</t>
        </is>
      </c>
      <c r="C76" s="8" t="n">
        <v>3</v>
      </c>
      <c r="D76" s="8" t="inlineStr">
        <is>
          <t>See Eligibility column on Latest Jobs</t>
        </is>
      </c>
    </row>
    <row r="77">
      <c r="A77" s="8" t="inlineStr">
        <is>
          <t>NPCIL Apprentice Recruitment 2026</t>
        </is>
      </c>
      <c r="B77" s="8" t="inlineStr">
        <is>
          <t>Diploma – Electronics</t>
        </is>
      </c>
      <c r="C77" s="8" t="n">
        <v>2</v>
      </c>
      <c r="D77" s="8" t="inlineStr">
        <is>
          <t>See Eligibility column on Latest Jobs</t>
        </is>
      </c>
    </row>
    <row r="78">
      <c r="A78" s="8" t="inlineStr">
        <is>
          <t>NPCIL Apprentice Recruitment 2026</t>
        </is>
      </c>
      <c r="B78" s="8" t="inlineStr">
        <is>
          <t>Diploma – Civil</t>
        </is>
      </c>
      <c r="C78" s="8" t="n">
        <v>6</v>
      </c>
      <c r="D78" s="8" t="inlineStr">
        <is>
          <t>See Eligibility column on Latest Jobs</t>
        </is>
      </c>
    </row>
    <row r="79">
      <c r="A79" s="8" t="inlineStr">
        <is>
          <t>NPCIL Apprentice Recruitment 2026</t>
        </is>
      </c>
      <c r="B79" s="8" t="inlineStr">
        <is>
          <t>Graduate – Mechanical</t>
        </is>
      </c>
      <c r="C79" s="8" t="n">
        <v>4</v>
      </c>
      <c r="D79" s="8" t="inlineStr">
        <is>
          <t>See Eligibility column on Latest Jobs</t>
        </is>
      </c>
    </row>
    <row r="80">
      <c r="A80" s="8" t="inlineStr">
        <is>
          <t>NPCIL Apprentice Recruitment 2026</t>
        </is>
      </c>
      <c r="B80" s="8" t="inlineStr">
        <is>
          <t>Graduate – Electrical</t>
        </is>
      </c>
      <c r="C80" s="8" t="n">
        <v>3</v>
      </c>
      <c r="D80" s="8" t="inlineStr">
        <is>
          <t>See Eligibility column on Latest Jobs</t>
        </is>
      </c>
    </row>
    <row r="81">
      <c r="A81" s="8" t="inlineStr">
        <is>
          <t>NPCIL Apprentice Recruitment 2026</t>
        </is>
      </c>
      <c r="B81" s="8" t="inlineStr">
        <is>
          <t>Graduate – Human Resource</t>
        </is>
      </c>
      <c r="C81" s="8" t="n">
        <v>3</v>
      </c>
      <c r="D81" s="8" t="inlineStr">
        <is>
          <t>See Eligibility column on Latest Jobs</t>
        </is>
      </c>
    </row>
    <row r="82">
      <c r="A82" s="8" t="inlineStr">
        <is>
          <t>NPCIL Apprentice Recruitment 2026</t>
        </is>
      </c>
      <c r="B82" s="8" t="inlineStr">
        <is>
          <t>Graduate – Finance &amp; Accounts</t>
        </is>
      </c>
      <c r="C82" s="8" t="n">
        <v>2</v>
      </c>
      <c r="D82" s="8" t="inlineStr">
        <is>
          <t>See Eligibility column on Latest Jobs</t>
        </is>
      </c>
    </row>
    <row r="83">
      <c r="A83" s="8" t="inlineStr">
        <is>
          <t>NPCIL Apprentice Recruitment 2026</t>
        </is>
      </c>
      <c r="B83" s="8" t="inlineStr">
        <is>
          <t>Graduate – Contract &amp; Material Mgmt</t>
        </is>
      </c>
      <c r="C83" s="8" t="n">
        <v>2</v>
      </c>
      <c r="D83" s="8" t="inlineStr">
        <is>
          <t>See Eligibility column on Latest Jobs</t>
        </is>
      </c>
    </row>
    <row r="84">
      <c r="A84" s="8" t="inlineStr">
        <is>
          <t>BHEL Artisan Grade-IV Recruitment 2026</t>
        </is>
      </c>
      <c r="B84" s="8" t="inlineStr">
        <is>
          <t>Fitter</t>
        </is>
      </c>
      <c r="C84" s="8" t="n">
        <v>278</v>
      </c>
      <c r="D84" s="8" t="inlineStr">
        <is>
          <t>10th pass + ITI in the trade — 60% marks (Gen/OBC), 55% (SC/ST)</t>
        </is>
      </c>
    </row>
    <row r="85">
      <c r="A85" s="8" t="inlineStr">
        <is>
          <t>BHEL Artisan Grade-IV Recruitment 2026</t>
        </is>
      </c>
      <c r="B85" s="8" t="inlineStr">
        <is>
          <t>Welder</t>
        </is>
      </c>
      <c r="C85" s="8" t="n">
        <v>104</v>
      </c>
      <c r="D85" s="8" t="inlineStr">
        <is>
          <t>10th pass + ITI in the trade — 60% marks (Gen/OBC), 55% (SC/ST)</t>
        </is>
      </c>
    </row>
    <row r="86">
      <c r="A86" s="8" t="inlineStr">
        <is>
          <t>BHEL Artisan Grade-IV Recruitment 2026</t>
        </is>
      </c>
      <c r="B86" s="8" t="inlineStr">
        <is>
          <t>Machinist</t>
        </is>
      </c>
      <c r="C86" s="8" t="n">
        <v>101</v>
      </c>
      <c r="D86" s="8" t="inlineStr">
        <is>
          <t>10th pass + ITI in the trade — 60% marks (Gen/OBC), 55% (SC/ST)</t>
        </is>
      </c>
    </row>
    <row r="87">
      <c r="A87" s="8" t="inlineStr">
        <is>
          <t>BHEL Artisan Grade-IV Recruitment 2026</t>
        </is>
      </c>
      <c r="B87" s="8" t="inlineStr">
        <is>
          <t>Electrician</t>
        </is>
      </c>
      <c r="C87" s="8" t="n">
        <v>90</v>
      </c>
      <c r="D87" s="8" t="inlineStr">
        <is>
          <t>10th pass + ITI in the trade — 60% marks (Gen/OBC), 55% (SC/ST)</t>
        </is>
      </c>
    </row>
    <row r="88">
      <c r="A88" s="8" t="inlineStr">
        <is>
          <t>BHEL Artisan Grade-IV Recruitment 2026</t>
        </is>
      </c>
      <c r="B88" s="8" t="inlineStr">
        <is>
          <t>Turner</t>
        </is>
      </c>
      <c r="C88" s="8" t="n">
        <v>52</v>
      </c>
      <c r="D88" s="8" t="inlineStr">
        <is>
          <t>10th pass + ITI in the trade — 60% marks (Gen/OBC), 55% (SC/ST)</t>
        </is>
      </c>
    </row>
    <row r="89">
      <c r="A89" s="8" t="inlineStr">
        <is>
          <t>BHEL Artisan Grade-IV Recruitment 2026</t>
        </is>
      </c>
      <c r="B89" s="8" t="inlineStr">
        <is>
          <t>Electronics Mechanic</t>
        </is>
      </c>
      <c r="C89" s="8" t="n">
        <v>23</v>
      </c>
      <c r="D89" s="8" t="inlineStr">
        <is>
          <t>10th pass + ITI in the trade — 60% marks (Gen/OBC), 55% (SC/ST)</t>
        </is>
      </c>
    </row>
    <row r="90">
      <c r="A90" s="8" t="inlineStr">
        <is>
          <t>BHEL Artisan Grade-IV Recruitment 2026</t>
        </is>
      </c>
      <c r="B90" s="8" t="inlineStr">
        <is>
          <t>Foundryman</t>
        </is>
      </c>
      <c r="C90" s="8" t="n">
        <v>12</v>
      </c>
      <c r="D90" s="8" t="inlineStr">
        <is>
          <t>10th pass + ITI in the trade — 60% marks (Gen/OBC), 55% (SC/ST)</t>
        </is>
      </c>
    </row>
    <row r="91" ht="26.4" customHeight="1">
      <c r="A91" s="8" t="inlineStr">
        <is>
          <t>Dr RMLIMS Lucknow Non-Teaching Group B &amp; C Recruitment 2026</t>
        </is>
      </c>
      <c r="B91" s="8" t="inlineStr">
        <is>
          <t>Hospital Attendant Gr-II</t>
        </is>
      </c>
      <c r="C91" s="8" t="n">
        <v>32</v>
      </c>
      <c r="D91" s="8" t="inlineStr">
        <is>
          <t>10th pass</t>
        </is>
      </c>
    </row>
    <row r="92" ht="26.4" customHeight="1">
      <c r="A92" s="8" t="inlineStr">
        <is>
          <t>Dr RMLIMS Lucknow Non-Teaching Group B &amp; C Recruitment 2026</t>
        </is>
      </c>
      <c r="B92" s="8" t="inlineStr">
        <is>
          <t>Stenographer</t>
        </is>
      </c>
      <c r="C92" s="8" t="n">
        <v>30</v>
      </c>
      <c r="D92" s="8" t="inlineStr">
        <is>
          <t>Graduate with 55% + shorthand &amp; typing test</t>
        </is>
      </c>
    </row>
    <row r="93" ht="26.4" customHeight="1">
      <c r="A93" s="8" t="inlineStr">
        <is>
          <t>Dr RMLIMS Lucknow Non-Teaching Group B &amp; C Recruitment 2026</t>
        </is>
      </c>
      <c r="B93" s="8" t="inlineStr">
        <is>
          <t>Receptionist</t>
        </is>
      </c>
      <c r="C93" s="8" t="n">
        <v>8</v>
      </c>
      <c r="D93" s="8" t="inlineStr">
        <is>
          <t>Graduate + PG diploma in journalism / PR</t>
        </is>
      </c>
    </row>
    <row r="94" ht="26.4" customHeight="1">
      <c r="A94" s="8" t="inlineStr">
        <is>
          <t>Dr RMLIMS Lucknow Non-Teaching Group B &amp; C Recruitment 2026</t>
        </is>
      </c>
      <c r="B94" s="8" t="inlineStr">
        <is>
          <t>Programmer</t>
        </is>
      </c>
      <c r="C94" s="8" t="n">
        <v>2</v>
      </c>
      <c r="D94" s="8" t="inlineStr">
        <is>
          <t>B.E./B.Tech CS or MCA</t>
        </is>
      </c>
    </row>
    <row r="95" ht="26.4" customHeight="1">
      <c r="A95" s="8" t="inlineStr">
        <is>
          <t>Dr RMLIMS Lucknow Non-Teaching Group B &amp; C Recruitment 2026</t>
        </is>
      </c>
      <c r="B95" s="8" t="inlineStr">
        <is>
          <t>Medical Physicist</t>
        </is>
      </c>
      <c r="C95" s="8" t="n">
        <v>1</v>
      </c>
      <c r="D95" s="8" t="inlineStr">
        <is>
          <t>M.Sc Physics / radiological physics + internship</t>
        </is>
      </c>
    </row>
    <row r="96" ht="26.4" customHeight="1">
      <c r="A96" s="8" t="inlineStr">
        <is>
          <t>Dr RMLIMS Lucknow Non-Teaching Group B &amp; C Recruitment 2026</t>
        </is>
      </c>
      <c r="B96" s="8" t="inlineStr">
        <is>
          <t>Radiation Safety Officer</t>
        </is>
      </c>
      <c r="C96" s="8" t="n">
        <v>1</v>
      </c>
      <c r="D96" s="8" t="inlineStr">
        <is>
          <t>See notification</t>
        </is>
      </c>
    </row>
    <row r="97" ht="26.4" customHeight="1">
      <c r="A97" s="8" t="inlineStr">
        <is>
          <t>JRHMS Community Health Officer Recruitment 2026</t>
        </is>
      </c>
      <c r="B97" s="8" t="inlineStr">
        <is>
          <t>Community Health Officer</t>
        </is>
      </c>
      <c r="C97" s="8" t="n">
        <v>1038</v>
      </c>
      <c r="D97" s="8" t="inlineStr">
        <is>
          <t>B.Sc Nursing / Post Basic B.Sc Nursing with integrated CPCH (2016–2020 batch onwards)</t>
        </is>
      </c>
    </row>
    <row r="98">
      <c r="A98" s="8" t="inlineStr">
        <is>
          <t>UPESSC UP Headmaster Recruitment 2026</t>
        </is>
      </c>
      <c r="B98" s="8" t="inlineStr">
        <is>
          <t>Headmaster (boys’ schools)</t>
        </is>
      </c>
      <c r="C98" s="8" t="n">
        <v>1037</v>
      </c>
      <c r="D98" s="8" t="inlineStr">
        <is>
          <t>Master’s with 50% + B.Ed/B.P.Ed + 4 years teaching</t>
        </is>
      </c>
    </row>
    <row r="99">
      <c r="A99" s="8" t="inlineStr">
        <is>
          <t>UPESSC UP Headmaster Recruitment 2026</t>
        </is>
      </c>
      <c r="B99" s="8" t="inlineStr">
        <is>
          <t>Headmaster (girls’ schools)</t>
        </is>
      </c>
      <c r="C99" s="8" t="n">
        <v>135</v>
      </c>
      <c r="D99" s="8" t="inlineStr">
        <is>
          <t>Same as above (see notification)</t>
        </is>
      </c>
    </row>
    <row r="100" ht="26.4" customHeight="1">
      <c r="A100" s="8" t="inlineStr">
        <is>
          <t>UPESSC UP Principal (Inter College) Recruitment 2026</t>
        </is>
      </c>
      <c r="B100" s="8" t="inlineStr">
        <is>
          <t>Principal (boys’ inter colleges)</t>
        </is>
      </c>
      <c r="C100" s="8" t="n">
        <v>1318</v>
      </c>
      <c r="D100" s="8" t="inlineStr">
        <is>
          <t>Master’s with 50% + B.Ed + 4 years experience</t>
        </is>
      </c>
    </row>
    <row r="101" ht="26.4" customHeight="1">
      <c r="A101" s="8" t="inlineStr">
        <is>
          <t>UPESSC UP Principal (Inter College) Recruitment 2026</t>
        </is>
      </c>
      <c r="B101" s="8" t="inlineStr">
        <is>
          <t>Principal (girls’ inter colleges)</t>
        </is>
      </c>
      <c r="C101" s="8" t="n">
        <v>157</v>
      </c>
      <c r="D101" s="8" t="inlineStr">
        <is>
          <t>See notification</t>
        </is>
      </c>
    </row>
    <row r="102" ht="26.4" customHeight="1">
      <c r="A102" s="8" t="inlineStr">
        <is>
          <t>UPESSC UP TGT Teacher Recruitment 2026</t>
        </is>
      </c>
      <c r="B102" s="8" t="inlineStr">
        <is>
          <t>Hindi</t>
        </is>
      </c>
      <c r="C102" s="8" t="n">
        <v>2791</v>
      </c>
      <c r="D102" s="8" t="inlineStr">
        <is>
          <t>Graduate in the related subject + B.Ed; UP TET (Class 6–8) as per notification</t>
        </is>
      </c>
    </row>
    <row r="103" ht="26.4" customHeight="1">
      <c r="A103" s="8" t="inlineStr">
        <is>
          <t>UPESSC UP TGT Teacher Recruitment 2026</t>
        </is>
      </c>
      <c r="B103" s="8" t="inlineStr">
        <is>
          <t>English</t>
        </is>
      </c>
      <c r="C103" s="8" t="n">
        <v>2517</v>
      </c>
      <c r="D103" s="8" t="inlineStr">
        <is>
          <t>Graduate in the related subject + B.Ed; UP TET (Class 6–8) as per notification</t>
        </is>
      </c>
    </row>
    <row r="104" ht="26.4" customHeight="1">
      <c r="A104" s="8" t="inlineStr">
        <is>
          <t>UPESSC UP TGT Teacher Recruitment 2026</t>
        </is>
      </c>
      <c r="B104" s="8" t="inlineStr">
        <is>
          <t>Science</t>
        </is>
      </c>
      <c r="C104" s="8" t="n">
        <v>2493</v>
      </c>
      <c r="D104" s="8" t="inlineStr">
        <is>
          <t>Graduate in the related subject + B.Ed; UP TET (Class 6–8) as per notification</t>
        </is>
      </c>
    </row>
    <row r="105" ht="26.4" customHeight="1">
      <c r="A105" s="8" t="inlineStr">
        <is>
          <t>UPESSC UP TGT Teacher Recruitment 2026</t>
        </is>
      </c>
      <c r="B105" s="8" t="inlineStr">
        <is>
          <t>Social Science</t>
        </is>
      </c>
      <c r="C105" s="8" t="n">
        <v>2482</v>
      </c>
      <c r="D105" s="8" t="inlineStr">
        <is>
          <t>Graduate in the related subject + B.Ed; UP TET (Class 6–8) as per notification</t>
        </is>
      </c>
    </row>
    <row r="106" ht="26.4" customHeight="1">
      <c r="A106" s="8" t="inlineStr">
        <is>
          <t>UPESSC UP TGT Teacher Recruitment 2026</t>
        </is>
      </c>
      <c r="B106" s="8" t="inlineStr">
        <is>
          <t>Mathematics</t>
        </is>
      </c>
      <c r="C106" s="8" t="n">
        <v>2349</v>
      </c>
      <c r="D106" s="8" t="inlineStr">
        <is>
          <t>Graduate in the related subject + B.Ed; UP TET (Class 6–8) as per notification</t>
        </is>
      </c>
    </row>
    <row r="107" ht="26.4" customHeight="1">
      <c r="A107" s="8" t="inlineStr">
        <is>
          <t>UPESSC UP TGT Teacher Recruitment 2026</t>
        </is>
      </c>
      <c r="B107" s="8" t="inlineStr">
        <is>
          <t>Sanskrit</t>
        </is>
      </c>
      <c r="C107" s="8" t="n">
        <v>1289</v>
      </c>
      <c r="D107" s="8" t="inlineStr">
        <is>
          <t>Graduate in the related subject + B.Ed; UP TET (Class 6–8) as per notification</t>
        </is>
      </c>
    </row>
    <row r="108" ht="26.4" customHeight="1">
      <c r="A108" s="8" t="inlineStr">
        <is>
          <t>UPESSC UP TGT Teacher Recruitment 2026</t>
        </is>
      </c>
      <c r="B108" s="8" t="inlineStr">
        <is>
          <t>Physical Education</t>
        </is>
      </c>
      <c r="C108" s="8" t="n">
        <v>849</v>
      </c>
      <c r="D108" s="8" t="inlineStr">
        <is>
          <t>Graduate in the related subject + B.Ed; UP TET (Class 6–8) as per notification</t>
        </is>
      </c>
    </row>
    <row r="109" ht="26.4" customHeight="1">
      <c r="A109" s="8" t="inlineStr">
        <is>
          <t>UPESSC UP TGT Teacher Recruitment 2026</t>
        </is>
      </c>
      <c r="B109" s="8" t="inlineStr">
        <is>
          <t>Home Science</t>
        </is>
      </c>
      <c r="C109" s="8" t="n">
        <v>798</v>
      </c>
      <c r="D109" s="8" t="inlineStr">
        <is>
          <t>Graduate in the related subject + B.Ed; UP TET (Class 6–8) as per notification</t>
        </is>
      </c>
    </row>
    <row r="110" ht="26.4" customHeight="1">
      <c r="A110" s="8" t="inlineStr">
        <is>
          <t>UPESSC UP TGT Teacher Recruitment 2026</t>
        </is>
      </c>
      <c r="B110" s="8" t="inlineStr">
        <is>
          <t>Drawing</t>
        </is>
      </c>
      <c r="C110" s="8" t="n">
        <v>775</v>
      </c>
      <c r="D110" s="8" t="inlineStr">
        <is>
          <t>Graduate in the related subject + B.Ed; UP TET (Class 6–8) as per notification</t>
        </is>
      </c>
    </row>
    <row r="111" ht="26.4" customHeight="1">
      <c r="A111" s="8" t="inlineStr">
        <is>
          <t>UPESSC UP TGT Teacher Recruitment 2026</t>
        </is>
      </c>
      <c r="B111" s="8" t="inlineStr">
        <is>
          <t>Biology</t>
        </is>
      </c>
      <c r="C111" s="8" t="n">
        <v>660</v>
      </c>
      <c r="D111" s="8" t="inlineStr">
        <is>
          <t>Graduate in the related subject + B.Ed; UP TET (Class 6–8) as per notification</t>
        </is>
      </c>
    </row>
    <row r="112" ht="26.4" customHeight="1">
      <c r="A112" s="8" t="inlineStr">
        <is>
          <t>UPESSC UP TGT Teacher Recruitment 2026</t>
        </is>
      </c>
      <c r="B112" s="8" t="inlineStr">
        <is>
          <t>Agriculture</t>
        </is>
      </c>
      <c r="C112" s="8" t="n">
        <v>248</v>
      </c>
      <c r="D112" s="8" t="inlineStr">
        <is>
          <t>Graduate in the related subject + B.Ed; UP TET (Class 6–8) as per notification</t>
        </is>
      </c>
    </row>
    <row r="113" ht="26.4" customHeight="1">
      <c r="A113" s="8" t="inlineStr">
        <is>
          <t>UPESSC UP TGT Teacher Recruitment 2026</t>
        </is>
      </c>
      <c r="B113" s="8" t="inlineStr">
        <is>
          <t>Commerce</t>
        </is>
      </c>
      <c r="C113" s="8" t="n">
        <v>134</v>
      </c>
      <c r="D113" s="8" t="inlineStr">
        <is>
          <t>Graduate in the related subject + B.Ed; UP TET (Class 6–8) as per notification</t>
        </is>
      </c>
    </row>
    <row r="114" ht="26.4" customHeight="1">
      <c r="A114" s="8" t="inlineStr">
        <is>
          <t>UPESSC UP TGT Teacher Recruitment 2026</t>
        </is>
      </c>
      <c r="B114" s="8" t="inlineStr">
        <is>
          <t>Other subjects (see notification)</t>
        </is>
      </c>
      <c r="C114" s="8" t="n">
        <v>1350</v>
      </c>
      <c r="D114" s="8" t="inlineStr">
        <is>
          <t>Graduate in the related subject + B.Ed; UP TET (Class 6–8) as per notification</t>
        </is>
      </c>
    </row>
    <row r="115">
      <c r="A115" s="8" t="inlineStr">
        <is>
          <t>RRB Station Master Recruitment 2026</t>
        </is>
      </c>
      <c r="B115" s="8" t="inlineStr">
        <is>
          <t>RRB Mumbai (CR)</t>
        </is>
      </c>
      <c r="C115" s="8" t="n">
        <v>125</v>
      </c>
      <c r="D115" s="8" t="inlineStr">
        <is>
          <t>Graduate in any stream</t>
        </is>
      </c>
    </row>
    <row r="116">
      <c r="A116" s="8" t="inlineStr">
        <is>
          <t>RRB Station Master Recruitment 2026</t>
        </is>
      </c>
      <c r="B116" s="8" t="inlineStr">
        <is>
          <t>RRB Jammu-Srinagar (NR)</t>
        </is>
      </c>
      <c r="C116" s="8" t="n">
        <v>122</v>
      </c>
      <c r="D116" s="8" t="inlineStr">
        <is>
          <t>Graduate in any stream</t>
        </is>
      </c>
    </row>
    <row r="117">
      <c r="A117" s="8" t="inlineStr">
        <is>
          <t>RRB Station Master Recruitment 2026</t>
        </is>
      </c>
      <c r="B117" s="8" t="inlineStr">
        <is>
          <t>RRB Chennai (SR)</t>
        </is>
      </c>
      <c r="C117" s="8" t="n">
        <v>119</v>
      </c>
      <c r="D117" s="8" t="inlineStr">
        <is>
          <t>Graduate in any stream</t>
        </is>
      </c>
    </row>
    <row r="118">
      <c r="A118" s="8" t="inlineStr">
        <is>
          <t>RRB Station Master Recruitment 2026</t>
        </is>
      </c>
      <c r="B118" s="8" t="inlineStr">
        <is>
          <t>RRB Thiruvananthapuram (SR)</t>
        </is>
      </c>
      <c r="C118" s="8" t="n">
        <v>114</v>
      </c>
      <c r="D118" s="8" t="inlineStr">
        <is>
          <t>Graduate in any stream</t>
        </is>
      </c>
    </row>
    <row r="119">
      <c r="A119" s="8" t="inlineStr">
        <is>
          <t>RRB Station Master Recruitment 2026</t>
        </is>
      </c>
      <c r="B119" s="8" t="inlineStr">
        <is>
          <t>RRB Prayagraj (NCR)</t>
        </is>
      </c>
      <c r="C119" s="8" t="n">
        <v>104</v>
      </c>
      <c r="D119" s="8" t="inlineStr">
        <is>
          <t>Graduate in any stream</t>
        </is>
      </c>
    </row>
    <row r="120">
      <c r="A120" s="8" t="inlineStr">
        <is>
          <t>RRB Station Master Recruitment 2026</t>
        </is>
      </c>
      <c r="B120" s="8" t="inlineStr">
        <is>
          <t>RRB Bengaluru (SWR)</t>
        </is>
      </c>
      <c r="C120" s="8" t="n">
        <v>102</v>
      </c>
      <c r="D120" s="8" t="inlineStr">
        <is>
          <t>Graduate in any stream</t>
        </is>
      </c>
    </row>
    <row r="121">
      <c r="A121" s="8" t="inlineStr">
        <is>
          <t>RRB Station Master Recruitment 2026</t>
        </is>
      </c>
      <c r="B121" s="8" t="inlineStr">
        <is>
          <t>RRB Secunderabad (SCoR)</t>
        </is>
      </c>
      <c r="C121" s="8" t="n">
        <v>65</v>
      </c>
      <c r="D121" s="8" t="inlineStr">
        <is>
          <t>Graduate in any stream</t>
        </is>
      </c>
    </row>
    <row r="122">
      <c r="A122" s="8" t="inlineStr">
        <is>
          <t>RRB Station Master Recruitment 2026</t>
        </is>
      </c>
      <c r="B122" s="8" t="inlineStr">
        <is>
          <t>RRB Bilaspur (SECR)</t>
        </is>
      </c>
      <c r="C122" s="8" t="n">
        <v>52</v>
      </c>
      <c r="D122" s="8" t="inlineStr">
        <is>
          <t>Graduate in any stream</t>
        </is>
      </c>
    </row>
    <row r="123">
      <c r="A123" s="8" t="inlineStr">
        <is>
          <t>RRB Station Master Recruitment 2026</t>
        </is>
      </c>
      <c r="B123" s="8" t="inlineStr">
        <is>
          <t>RRB Ajmer (NWR)</t>
        </is>
      </c>
      <c r="C123" s="8" t="n">
        <v>49</v>
      </c>
      <c r="D123" s="8" t="inlineStr">
        <is>
          <t>Graduate in any stream</t>
        </is>
      </c>
    </row>
    <row r="124">
      <c r="A124" s="8" t="inlineStr">
        <is>
          <t>RRB Station Master Recruitment 2026</t>
        </is>
      </c>
      <c r="B124" s="8" t="inlineStr">
        <is>
          <t>RRB Bhopal (WCR)</t>
        </is>
      </c>
      <c r="C124" s="8" t="n">
        <v>49</v>
      </c>
      <c r="D124" s="8" t="inlineStr">
        <is>
          <t>Graduate in any stream</t>
        </is>
      </c>
    </row>
    <row r="125">
      <c r="A125" s="8" t="inlineStr">
        <is>
          <t>RRB Station Master Recruitment 2026</t>
        </is>
      </c>
      <c r="B125" s="8" t="inlineStr">
        <is>
          <t>Other RRBs (see notification)</t>
        </is>
      </c>
      <c r="C125" s="8" t="n">
        <v>364</v>
      </c>
      <c r="D125" s="8" t="inlineStr">
        <is>
          <t>Graduate in any stream</t>
        </is>
      </c>
    </row>
    <row r="126" ht="26.4" customHeight="1">
      <c r="A126" s="8" t="inlineStr">
        <is>
          <t>Supreme Court Junior Court Attendant Recruitment 2026</t>
        </is>
      </c>
      <c r="B126" s="8" t="inlineStr">
        <is>
          <t>Junior Court Attendant (Group C)</t>
        </is>
      </c>
      <c r="C126" s="8" t="n">
        <v>130</v>
      </c>
      <c r="D126" s="8" t="inlineStr">
        <is>
          <t>10th pass</t>
        </is>
      </c>
    </row>
    <row r="127" ht="26.4" customHeight="1">
      <c r="A127" s="8" t="inlineStr">
        <is>
          <t>OPSC Scientific Officer Recruitment 2026</t>
        </is>
      </c>
      <c r="B127" s="8" t="inlineStr">
        <is>
          <t>Physics</t>
        </is>
      </c>
      <c r="C127" s="8" t="n">
        <v>7</v>
      </c>
      <c r="D127" s="8" t="inlineStr">
        <is>
          <t>Master’s degree in the relevant subject + ability to read, write and speak Odia</t>
        </is>
      </c>
    </row>
    <row r="128" ht="26.4" customHeight="1">
      <c r="A128" s="8" t="inlineStr">
        <is>
          <t>OPSC Scientific Officer Recruitment 2026</t>
        </is>
      </c>
      <c r="B128" s="8" t="inlineStr">
        <is>
          <t>Ballistics</t>
        </is>
      </c>
      <c r="C128" s="8" t="n">
        <v>6</v>
      </c>
      <c r="D128" s="8" t="inlineStr">
        <is>
          <t>Master’s degree in the relevant subject + ability to read, write and speak Odia</t>
        </is>
      </c>
    </row>
    <row r="129" ht="26.4" customHeight="1">
      <c r="A129" s="8" t="inlineStr">
        <is>
          <t>OPSC Scientific Officer Recruitment 2026</t>
        </is>
      </c>
      <c r="B129" s="8" t="inlineStr">
        <is>
          <t>Chemistry</t>
        </is>
      </c>
      <c r="C129" s="8" t="n">
        <v>10</v>
      </c>
      <c r="D129" s="8" t="inlineStr">
        <is>
          <t>Master’s degree in the relevant subject + ability to read, write and speak Odia</t>
        </is>
      </c>
    </row>
    <row r="130" ht="26.4" customHeight="1">
      <c r="A130" s="8" t="inlineStr">
        <is>
          <t>OPSC Scientific Officer Recruitment 2026</t>
        </is>
      </c>
      <c r="B130" s="8" t="inlineStr">
        <is>
          <t>Toxicology</t>
        </is>
      </c>
      <c r="C130" s="8" t="n">
        <v>13</v>
      </c>
      <c r="D130" s="8" t="inlineStr">
        <is>
          <t>Master’s degree in the relevant subject + ability to read, write and speak Odia</t>
        </is>
      </c>
    </row>
    <row r="131" ht="26.4" customHeight="1">
      <c r="A131" s="8" t="inlineStr">
        <is>
          <t>OPSC Scientific Officer Recruitment 2026</t>
        </is>
      </c>
      <c r="B131" s="8" t="inlineStr">
        <is>
          <t>Biology</t>
        </is>
      </c>
      <c r="C131" s="8" t="n">
        <v>14</v>
      </c>
      <c r="D131" s="8" t="inlineStr">
        <is>
          <t>Master’s degree in the relevant subject + ability to read, write and speak Odia</t>
        </is>
      </c>
    </row>
    <row r="132" ht="26.4" customHeight="1">
      <c r="A132" s="8" t="inlineStr">
        <is>
          <t>OPSC Scientific Officer Recruitment 2026</t>
        </is>
      </c>
      <c r="B132" s="8" t="inlineStr">
        <is>
          <t>Serology</t>
        </is>
      </c>
      <c r="C132" s="8" t="n">
        <v>4</v>
      </c>
      <c r="D132" s="8" t="inlineStr">
        <is>
          <t>Master’s degree in the relevant subject + ability to read, write and speak Odia</t>
        </is>
      </c>
    </row>
    <row r="133" ht="26.4" customHeight="1">
      <c r="A133" s="8" t="inlineStr">
        <is>
          <t>OPSC Scientific Officer Recruitment 2026</t>
        </is>
      </c>
      <c r="B133" s="8" t="inlineStr">
        <is>
          <t>DNA</t>
        </is>
      </c>
      <c r="C133" s="8" t="n">
        <v>12</v>
      </c>
      <c r="D133" s="8" t="inlineStr">
        <is>
          <t>Master’s degree in the relevant subject + ability to read, write and speak Odia</t>
        </is>
      </c>
    </row>
    <row r="134" ht="26.4" customHeight="1">
      <c r="A134" s="8" t="inlineStr">
        <is>
          <t>OPSC Scientific Officer Recruitment 2026</t>
        </is>
      </c>
      <c r="B134" s="8" t="inlineStr">
        <is>
          <t>Forensic Psychology</t>
        </is>
      </c>
      <c r="C134" s="8" t="n">
        <v>6</v>
      </c>
      <c r="D134" s="8" t="inlineStr">
        <is>
          <t>Master’s degree in the relevant subject + ability to read, write and speak Odia</t>
        </is>
      </c>
    </row>
    <row r="135" ht="26.4" customHeight="1">
      <c r="A135" s="8" t="inlineStr">
        <is>
          <t>OPSC Scientific Officer Recruitment 2026</t>
        </is>
      </c>
      <c r="B135" s="8" t="inlineStr">
        <is>
          <t>Cyber Forensic</t>
        </is>
      </c>
      <c r="C135" s="8" t="n">
        <v>11</v>
      </c>
      <c r="D135" s="8" t="inlineStr">
        <is>
          <t>Master’s degree in the relevant subject + ability to read, write and speak Odia</t>
        </is>
      </c>
    </row>
    <row r="136" ht="26.4" customHeight="1">
      <c r="A136" s="8" t="inlineStr">
        <is>
          <t>OPSC Scientific Officer Recruitment 2026</t>
        </is>
      </c>
      <c r="B136" s="8" t="inlineStr">
        <is>
          <t>Document</t>
        </is>
      </c>
      <c r="C136" s="8" t="n">
        <v>6</v>
      </c>
      <c r="D136" s="8" t="inlineStr">
        <is>
          <t>Master’s degree in the relevant subject + ability to read, write and speak Odia</t>
        </is>
      </c>
    </row>
    <row r="137">
      <c r="A137" s="8" t="inlineStr">
        <is>
          <t>UPPSC RO / ARO Recruitment 2026</t>
        </is>
      </c>
      <c r="B137" s="8" t="inlineStr">
        <is>
          <t>Assistant Review Officer, UP Secretariat</t>
        </is>
      </c>
      <c r="C137" s="8" t="n">
        <v>261</v>
      </c>
      <c r="D137" s="8" t="inlineStr">
        <is>
          <t>See Eligibility column on Latest Jobs</t>
        </is>
      </c>
    </row>
    <row r="138">
      <c r="A138" s="8" t="inlineStr">
        <is>
          <t>UPPSC RO / ARO Recruitment 2026</t>
        </is>
      </c>
      <c r="B138" s="8" t="inlineStr">
        <is>
          <t>Review Officer, UP Secretariat</t>
        </is>
      </c>
      <c r="C138" s="8" t="n">
        <v>122</v>
      </c>
      <c r="D138" s="8" t="inlineStr">
        <is>
          <t>See Eligibility column on Latest Jobs</t>
        </is>
      </c>
    </row>
    <row r="139">
      <c r="A139" s="8" t="inlineStr">
        <is>
          <t>UPPSC RO / ARO Recruitment 2026</t>
        </is>
      </c>
      <c r="B139" s="8" t="inlineStr">
        <is>
          <t>Assistant Review Officer, Advocate General Office</t>
        </is>
      </c>
      <c r="C139" s="8" t="n">
        <v>45</v>
      </c>
      <c r="D139" s="8" t="inlineStr">
        <is>
          <t>See Eligibility column on Latest Jobs</t>
        </is>
      </c>
    </row>
    <row r="140">
      <c r="A140" s="8" t="inlineStr">
        <is>
          <t>UPPSC RO / ARO Recruitment 2026</t>
        </is>
      </c>
      <c r="B140" s="8" t="inlineStr">
        <is>
          <t>Review Officer (Accounts), UP Secretariat</t>
        </is>
      </c>
      <c r="C140" s="8" t="n">
        <v>31</v>
      </c>
      <c r="D140" s="8" t="inlineStr">
        <is>
          <t>See Eligibility column on Latest Jobs</t>
        </is>
      </c>
    </row>
    <row r="141">
      <c r="A141" s="8" t="inlineStr">
        <is>
          <t>UPPSC RO / ARO Recruitment 2026</t>
        </is>
      </c>
      <c r="B141" s="8" t="inlineStr">
        <is>
          <t>Assistant Review Officer, UPPSC</t>
        </is>
      </c>
      <c r="C141" s="8" t="n">
        <v>21</v>
      </c>
      <c r="D141" s="8" t="inlineStr">
        <is>
          <t>See Eligibility column on Latest Jobs</t>
        </is>
      </c>
    </row>
    <row r="142" ht="39.6" customHeight="1">
      <c r="A142" s="8" t="inlineStr">
        <is>
          <t>UPPSC RO / ARO Recruitment 2026</t>
        </is>
      </c>
      <c r="B142" s="8" t="inlineStr">
        <is>
          <t>Other RO / ARO posts</t>
        </is>
      </c>
      <c r="C142" s="8" t="inlineStr">
        <is>
          <t>See notification (total 501)</t>
        </is>
      </c>
      <c r="D142" s="8" t="inlineStr">
        <is>
          <t>See Eligibility column on Latest Jobs</t>
        </is>
      </c>
    </row>
    <row r="143" ht="26.4" customHeight="1">
      <c r="A143" s="8" t="inlineStr">
        <is>
          <t>UPSSSC Lower Subordinate (Inter Level) Mains Recruitment 2026</t>
        </is>
      </c>
      <c r="B143" s="8" t="inlineStr">
        <is>
          <t>Village Development Officer (Social Welfare)</t>
        </is>
      </c>
      <c r="C143" s="8" t="n">
        <v>525</v>
      </c>
      <c r="D143" s="8" t="inlineStr">
        <is>
          <t>12th pass</t>
        </is>
      </c>
    </row>
    <row r="144" ht="26.4" customHeight="1">
      <c r="A144" s="8" t="inlineStr">
        <is>
          <t>UPSSSC Lower Subordinate (Inter Level) Mains Recruitment 2026</t>
        </is>
      </c>
      <c r="B144" s="8" t="inlineStr">
        <is>
          <t>Village Development Officer</t>
        </is>
      </c>
      <c r="C144" s="8" t="n">
        <v>508</v>
      </c>
      <c r="D144" s="8" t="inlineStr">
        <is>
          <t>12th pass</t>
        </is>
      </c>
    </row>
    <row r="145" ht="26.4" customHeight="1">
      <c r="A145" s="8" t="inlineStr">
        <is>
          <t>UPSSSC Lower Subordinate (Inter Level) Mains Recruitment 2026</t>
        </is>
      </c>
      <c r="B145" s="8" t="inlineStr">
        <is>
          <t>Commercial Tax Collection Amin</t>
        </is>
      </c>
      <c r="C145" s="8" t="n">
        <v>235</v>
      </c>
      <c r="D145" s="8" t="inlineStr">
        <is>
          <t>12th pass</t>
        </is>
      </c>
    </row>
    <row r="146" ht="26.4" customHeight="1">
      <c r="A146" s="8" t="inlineStr">
        <is>
          <t>UPSSSC Lower Subordinate (Inter Level) Mains Recruitment 2026</t>
        </is>
      </c>
      <c r="B146" s="8" t="inlineStr">
        <is>
          <t>Land Amin</t>
        </is>
      </c>
      <c r="C146" s="8" t="n">
        <v>187</v>
      </c>
      <c r="D146" s="8" t="inlineStr">
        <is>
          <t>12th pass</t>
        </is>
      </c>
    </row>
    <row r="147" ht="26.4" customHeight="1">
      <c r="A147" s="8" t="inlineStr">
        <is>
          <t>UPSSSC Lower Subordinate (Inter Level) Mains Recruitment 2026</t>
        </is>
      </c>
      <c r="B147" s="8" t="inlineStr">
        <is>
          <t>Social Welfare Supervisor</t>
        </is>
      </c>
      <c r="C147" s="8" t="n">
        <v>137</v>
      </c>
      <c r="D147" s="8" t="inlineStr">
        <is>
          <t>12th pass</t>
        </is>
      </c>
    </row>
    <row r="148" ht="26.4" customHeight="1">
      <c r="A148" s="8" t="inlineStr">
        <is>
          <t>UPSSSC Lower Subordinate (Inter Level) Mains Recruitment 2026</t>
        </is>
      </c>
      <c r="B148" s="8" t="inlineStr">
        <is>
          <t>Storekeeper &amp; Clerk</t>
        </is>
      </c>
      <c r="C148" s="8" t="n">
        <v>118</v>
      </c>
      <c r="D148" s="8" t="inlineStr">
        <is>
          <t>12th pass</t>
        </is>
      </c>
    </row>
    <row r="149" ht="26.4" customHeight="1">
      <c r="A149" s="8" t="inlineStr">
        <is>
          <t>UPSSSC Lower Subordinate (Inter Level) Mains Recruitment 2026</t>
        </is>
      </c>
      <c r="B149" s="8" t="inlineStr">
        <is>
          <t>Cooperative Agriculture Supervisor</t>
        </is>
      </c>
      <c r="C149" s="8" t="n">
        <v>50</v>
      </c>
      <c r="D149" s="8" t="inlineStr">
        <is>
          <t>12th pass</t>
        </is>
      </c>
    </row>
    <row r="150" ht="26.4" customHeight="1">
      <c r="A150" s="8" t="inlineStr">
        <is>
          <t>UPSSSC Lower Subordinate (Inter Level) Mains Recruitment 2026</t>
        </is>
      </c>
      <c r="B150" s="8" t="inlineStr">
        <is>
          <t>Tabulator</t>
        </is>
      </c>
      <c r="C150" s="8" t="n">
        <v>14</v>
      </c>
      <c r="D150" s="8" t="inlineStr">
        <is>
          <t>12th pass</t>
        </is>
      </c>
    </row>
    <row r="151" ht="26.4" customHeight="1">
      <c r="A151" s="8" t="inlineStr">
        <is>
          <t>UPSSSC Lower Subordinate (Inter Level) Mains Recruitment 2026</t>
        </is>
      </c>
      <c r="B151" s="8" t="inlineStr">
        <is>
          <t>House Mother</t>
        </is>
      </c>
      <c r="C151" s="8" t="n">
        <v>5</v>
      </c>
      <c r="D151" s="8" t="inlineStr">
        <is>
          <t>12th pass</t>
        </is>
      </c>
    </row>
    <row r="152" ht="26.4" customHeight="1">
      <c r="A152" s="8" t="inlineStr">
        <is>
          <t>UPSSSC Lower Subordinate (Inter Level) Mains Recruitment 2026</t>
        </is>
      </c>
      <c r="B152" s="8" t="inlineStr">
        <is>
          <t>Other posts</t>
        </is>
      </c>
      <c r="C152" s="8" t="n">
        <v>5</v>
      </c>
      <c r="D152" s="8" t="inlineStr">
        <is>
          <t>12th pass</t>
        </is>
      </c>
    </row>
    <row r="153">
      <c r="A153" s="8" t="inlineStr">
        <is>
          <t>JKSSB Junior Engineer (Civil) Recruitment 2026</t>
        </is>
      </c>
      <c r="B153" s="8" t="inlineStr">
        <is>
          <t>Junior Engineer (Civil)</t>
        </is>
      </c>
      <c r="C153" s="8" t="n">
        <v>458</v>
      </c>
      <c r="D153" s="8" t="inlineStr">
        <is>
          <t>3-year Diploma in Civil Engg, or B.E./B.Tech Civil, or AMIE (A &amp; B)</t>
        </is>
      </c>
    </row>
  </sheetData>
  <autoFilter ref="A1:D153"/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" sqref="A1"/>
    </sheetView>
  </sheetViews>
  <sheetFormatPr baseColWidth="8" defaultColWidth="8.6640625" defaultRowHeight="14.4"/>
  <cols>
    <col width="5" customWidth="1" min="1" max="1"/>
    <col width="36" customWidth="1" min="2" max="2"/>
    <col width="28" customWidth="1" min="3" max="3"/>
    <col width="18" customWidth="1" min="4" max="4"/>
    <col width="10" customWidth="1" min="5" max="5"/>
    <col width="40" customWidth="1" min="6" max="6"/>
    <col width="24" customWidth="1" min="7" max="7"/>
    <col width="30" customWidth="1" min="8" max="8"/>
    <col width="22" customWidth="1" min="9" max="9"/>
    <col width="34" customWidth="1" min="10" max="10"/>
    <col width="44" customWidth="1" min="11" max="11"/>
    <col width="30" customWidth="1" min="12" max="12"/>
    <col width="50" customWidth="1" min="13" max="14"/>
    <col width="40" customWidth="1" min="15" max="15"/>
    <col width="11" customWidth="1" min="16" max="16"/>
  </cols>
  <sheetData>
    <row r="1" ht="33.75" customHeight="1">
      <c r="A1" s="6" t="inlineStr">
        <is>
          <t>#</t>
        </is>
      </c>
      <c r="B1" s="6" t="inlineStr">
        <is>
          <t>Title</t>
        </is>
      </c>
      <c r="C1" s="6" t="inlineStr">
        <is>
          <t>Organisation</t>
        </is>
      </c>
      <c r="D1" s="6" t="inlineStr">
        <is>
          <t>Advt. no.</t>
        </is>
      </c>
      <c r="E1" s="6" t="inlineStr">
        <is>
          <t>Total posts</t>
        </is>
      </c>
      <c r="F1" s="6" t="inlineStr">
        <is>
          <t>Key dates</t>
        </is>
      </c>
      <c r="G1" s="6" t="inlineStr">
        <is>
          <t>Login needed</t>
        </is>
      </c>
      <c r="H1" s="6" t="inlineStr">
        <is>
          <t>Next stages</t>
        </is>
      </c>
      <c r="I1" s="6" t="inlineStr">
        <is>
          <t>Fee</t>
        </is>
      </c>
      <c r="J1" s="6" t="inlineStr">
        <is>
          <t>Eligibility</t>
        </is>
      </c>
      <c r="K1" s="6" t="inlineStr">
        <is>
          <t>Exam pattern</t>
        </is>
      </c>
      <c r="L1" s="6" t="inlineStr">
        <is>
          <t>Marking / notes</t>
        </is>
      </c>
      <c r="M1" s="6" t="inlineStr">
        <is>
          <t>Main topics</t>
        </is>
      </c>
      <c r="N1" s="6" t="inlineStr">
        <is>
          <t>Official links</t>
        </is>
      </c>
      <c r="O1" s="7" t="inlineStr">
        <is>
          <t>YOUR short info (write)</t>
        </is>
      </c>
      <c r="P1" s="6" t="inlineStr">
        <is>
          <t>Written?</t>
        </is>
      </c>
    </row>
    <row r="2" ht="118.8" customHeight="1">
      <c r="A2" s="8" t="n">
        <v>1</v>
      </c>
      <c r="B2" s="9" t="inlineStr">
        <is>
          <t>SSC CGL Tier-I Admit Card 2026</t>
        </is>
      </c>
      <c r="C2" s="8" t="inlineStr">
        <is>
          <t>Staff Selection Commission (SSC)</t>
        </is>
      </c>
      <c r="D2" s="8" t="n"/>
      <c r="E2" s="8" t="n">
        <v>12256</v>
      </c>
      <c r="F2" s="8" t="inlineStr">
        <is>
          <t>Tier-I exam city details: 21 September 2026
Admit card released: 27 September 2026
Tier-I exam: 30 September – 30 October 2026
Tier-II exam: December 2026 (tentative)</t>
        </is>
      </c>
      <c r="G2" s="8" t="inlineStr">
        <is>
          <t>Registration number / user ID
Password or date of birth</t>
        </is>
      </c>
      <c r="H2" s="8" t="n"/>
      <c r="I2" s="8" t="n"/>
      <c r="J2" s="8" t="n"/>
      <c r="K2" s="8" t="n"/>
      <c r="L2" s="8" t="n"/>
      <c r="M2" s="8" t="n"/>
      <c r="N2" s="8" t="inlineStr">
        <is>
          <t>SSC candidate login (admit card): https://ssc.gov.in/login
Tier-I exam city notice: https://ssc.gov.in/api/attachment/uploads/masterData/NoticeBoards/cgle_2026_city_live_21092026.pdf
Exam date notice: https://ssc.gov.in/api/attachment/uploads/masterData/NoticeBoards/Important%20Notice%202026_cgle_2026_12092026.pdf
SSC official website: https://ssc.gov.in/</t>
        </is>
      </c>
      <c r="O2" s="11" t="n"/>
      <c r="P2" s="8" t="inlineStr">
        <is>
          <t>No</t>
        </is>
      </c>
    </row>
    <row r="3" ht="118.8" customHeight="1">
      <c r="A3" s="8" t="n">
        <v>2</v>
      </c>
      <c r="B3" s="9" t="inlineStr">
        <is>
          <t>NVS JNVST Class 6 Admit Card 2027</t>
        </is>
      </c>
      <c r="C3" s="8" t="inlineStr">
        <is>
          <t>Navodaya Vidyalaya Samiti (NVS)</t>
        </is>
      </c>
      <c r="D3" s="8" t="n"/>
      <c r="E3" s="8" t="n"/>
      <c r="F3" s="8" t="inlineStr">
        <is>
          <t>Admit card released: 28 October 2026
Selection test date: 28 November 2026
Result: To be announced</t>
        </is>
      </c>
      <c r="G3" s="8" t="inlineStr">
        <is>
          <t>Registration number
Date of birth</t>
        </is>
      </c>
      <c r="H3" s="8" t="inlineStr">
        <is>
          <t>Selection test
Merit list
Document check and admission</t>
        </is>
      </c>
      <c r="I3" s="8" t="n"/>
      <c r="J3" s="8" t="n"/>
      <c r="K3" s="8" t="n"/>
      <c r="L3" s="8" t="n"/>
      <c r="M3" s="8" t="n"/>
      <c r="N3" s="8" t="inlineStr">
        <is>
          <t>Download admit card: https://cbseitms.rcil.gov.in/nvs/AdminCard/Admit2027Card
Forgot registration number: https://cbseitms.rcil.gov.in/nvs/ChildernPrint/findRegistrationno
Prospectus (PDF): https://cbseitms.rcil.gov.in/nvs/assets/pdf/Final_Prospectus_2027.pdf
NVS admission portal: https://cbseitms.rcil.gov.in/nvs/</t>
        </is>
      </c>
      <c r="O3" s="11" t="n"/>
      <c r="P3" s="8" t="inlineStr">
        <is>
          <t>No</t>
        </is>
      </c>
    </row>
    <row r="4" ht="105.6" customHeight="1">
      <c r="A4" s="8" t="n">
        <v>3</v>
      </c>
      <c r="B4" s="9" t="inlineStr">
        <is>
          <t>Bank of Baroda Specialist Officer (SO) Admit Card 2026</t>
        </is>
      </c>
      <c r="C4" s="8" t="inlineStr">
        <is>
          <t>Bank of Baroda</t>
        </is>
      </c>
      <c r="D4" s="8" t="inlineStr">
        <is>
          <t>BOB/HRM/REC/ADVT/2026/15</t>
        </is>
      </c>
      <c r="E4" s="8" t="n">
        <v>206</v>
      </c>
      <c r="F4" s="8" t="inlineStr">
        <is>
          <t>Admit card released: 24 October 2026
Online exam: 01 November 2026
Result: To be announced</t>
        </is>
      </c>
      <c r="G4" s="8" t="inlineStr">
        <is>
          <t>Registration / roll number
Password or date of birth</t>
        </is>
      </c>
      <c r="H4" s="8" t="inlineStr">
        <is>
          <t>Online test
Psychometric test / personal interview
Final merit list</t>
        </is>
      </c>
      <c r="I4" s="8" t="n"/>
      <c r="J4" s="8" t="n"/>
      <c r="K4" s="8" t="n"/>
      <c r="L4" s="8" t="n"/>
      <c r="M4" s="8" t="n"/>
      <c r="N4" s="8" t="inlineStr">
        <is>
          <t>Call letter notice (PDF): https://bankofbaroda.bank.in/-/media/Project/BOB/CountryWebsites/India/Career/2026/26-10/Online-Examination-Digital-23-34.pdf
Exam date notice (PDF): https://bankofbaroda.bank.in/-/media/Project/BOB/CountryWebsites/India/Career/2026/26-10/Notification-for-Online-Examination-Digital-19-20.pdf
Bank of Baroda careers: https://bankofbaroda.bank.in/career/current-opportunities</t>
        </is>
      </c>
      <c r="O4" s="11" t="n"/>
      <c r="P4" s="8" t="inlineStr">
        <is>
          <t>No</t>
        </is>
      </c>
    </row>
    <row r="5" ht="66" customHeight="1">
      <c r="A5" s="8" t="n">
        <v>4</v>
      </c>
      <c r="B5" s="9" t="inlineStr">
        <is>
          <t>AAI Junior Executive &amp; Manager Admit Card 2026</t>
        </is>
      </c>
      <c r="C5" s="8" t="inlineStr">
        <is>
          <t>Airports Authority of India (AAI)</t>
        </is>
      </c>
      <c r="D5" s="8" t="inlineStr">
        <is>
          <t>12/2026/CHQ/DR-CBT</t>
        </is>
      </c>
      <c r="E5" s="8" t="n">
        <v>389</v>
      </c>
      <c r="F5" s="8" t="inlineStr">
        <is>
          <t>Admit card released: 14 October 2026
Exam dates: 21 &amp; 26 October 2026
Result: To be announced</t>
        </is>
      </c>
      <c r="G5" s="8" t="inlineStr">
        <is>
          <t>Registration number
Date of birth / password</t>
        </is>
      </c>
      <c r="H5" s="8" t="inlineStr">
        <is>
          <t>Computer based test
Document verification
Further tests / interview as per post</t>
        </is>
      </c>
      <c r="I5" s="8" t="n"/>
      <c r="J5" s="8" t="n"/>
      <c r="K5" s="8" t="n"/>
      <c r="L5" s="8" t="n"/>
      <c r="M5" s="8" t="n"/>
      <c r="N5" s="8" t="inlineStr">
        <is>
          <t>Exam notice (PDF): https://www.aai.aero/sites/default/files/examdashboard_pressnote/Exam%20Notice.pdf
AAI careers page: https://www.aai.aero/en/careers/recruitment</t>
        </is>
      </c>
      <c r="O5" s="11" t="n"/>
      <c r="P5" s="8" t="inlineStr">
        <is>
          <t>No</t>
        </is>
      </c>
    </row>
    <row r="6">
      <c r="A6" t="n">
        <v>5</v>
      </c>
      <c r="B6" t="inlineStr">
        <is>
          <t>UP Special TET Admit Card 2026</t>
        </is>
      </c>
      <c r="C6" t="inlineStr">
        <is>
          <t>UP Education Service Selection Commission (UPESSC)</t>
        </is>
      </c>
      <c r="D6" t="inlineStr">
        <is>
          <t>03/2026</t>
        </is>
      </c>
      <c r="F6" t="inlineStr">
        <is>
          <t>Admit card released: 31 October 2026
Examination date: 03 November 2026
Shift timings: 9:30 AM–12:00 PM and 2:30 PM–5:00 PM</t>
        </is>
      </c>
      <c r="G6" t="inlineStr">
        <is>
          <t>Registration number / OTR details</t>
        </is>
      </c>
      <c r="H6" t="inlineStr">
        <is>
          <t>Answer key
Objection window
Result</t>
        </is>
      </c>
      <c r="N6" t="inlineStr">
        <is>
          <t>Admit card download: https://upessc.up.gov.in/
UPESSC official website: https://upessc.up.gov.in/</t>
        </is>
      </c>
      <c r="P6" t="inlineStr">
        <is>
          <t>No</t>
        </is>
      </c>
    </row>
    <row r="7">
      <c r="A7" t="n">
        <v>6</v>
      </c>
      <c r="B7" t="inlineStr">
        <is>
          <t>Supreme Court Junior &amp; Senior Court Assistant-cum-Programmer Admit Card 2026</t>
        </is>
      </c>
      <c r="C7" t="inlineStr">
        <is>
          <t>Supreme Court of India</t>
        </is>
      </c>
      <c r="D7" t="inlineStr">
        <is>
          <t>F.6/RC/Sr.&amp;Jr. Programmer/2025</t>
        </is>
      </c>
      <c r="E7" t="n">
        <v>26</v>
      </c>
      <c r="F7" t="inlineStr">
        <is>
          <t>Junior Programmer admit card: 18 October 2026
Senior Programmer admit card: 30 October 2026
Junior Programmer written exam: 21 October 2026</t>
        </is>
      </c>
      <c r="G7" t="inlineStr">
        <is>
          <t>Application number / registration details</t>
        </is>
      </c>
      <c r="H7" t="inlineStr">
        <is>
          <t>Practical aptitude test
Interview
Document verification
Final selection</t>
        </is>
      </c>
      <c r="N7" t="inlineStr">
        <is>
          <t>Admit card portal: https://cdn3.digialm.com/EForms/configuredHtml/32912/94289/login.html
Supreme Court recruitment page: https://www.sci.gov.in/recruitments/</t>
        </is>
      </c>
      <c r="P7" t="inlineStr">
        <is>
          <t>No</t>
        </is>
      </c>
    </row>
    <row r="8">
      <c r="A8" t="n">
        <v>7</v>
      </c>
      <c r="B8" t="inlineStr">
        <is>
          <t>RRB ALP CBT 1 Admit Card 2026</t>
        </is>
      </c>
      <c r="C8" t="inlineStr">
        <is>
          <t>Railway Recruitment Boards (RRB)</t>
        </is>
      </c>
      <c r="D8" t="inlineStr">
        <is>
          <t>CEN 01/2026</t>
        </is>
      </c>
      <c r="E8" t="n">
        <v>11127</v>
      </c>
      <c r="F8" t="inlineStr">
        <is>
          <t>City intimation slip: from 23 October 2026
Admit card released: 30 October 2026 onwards
CBT 1 exam: 03, 04 and 05 November 2026</t>
        </is>
      </c>
      <c r="G8" t="inlineStr">
        <is>
          <t>Registration number
Date of birth / password</t>
        </is>
      </c>
      <c r="H8" t="inlineStr">
        <is>
          <t>CBT 2
Computer-Based Aptitude Test (CBAT)
Document verification
Medical examination</t>
        </is>
      </c>
      <c r="N8" t="inlineStr">
        <is>
          <t>RRB official website: https://rrb.indianrailways.gov.in/
Application portal: https://www.rrbapply.gov.in/</t>
        </is>
      </c>
      <c r="P8" t="inlineStr">
        <is>
          <t>No</t>
        </is>
      </c>
    </row>
    <row r="9">
      <c r="A9" t="n">
        <v>8</v>
      </c>
      <c r="B9" t="inlineStr">
        <is>
          <t>OPSC OCS Mains Admit Card 2026</t>
        </is>
      </c>
      <c r="C9" t="inlineStr">
        <is>
          <t>Odisha Public Service Commission (OPSC)</t>
        </is>
      </c>
      <c r="E9" t="n">
        <v>465</v>
      </c>
      <c r="F9" t="inlineStr">
        <is>
          <t>Admit card released: 23 October 2026
Mains exam: 31 October – 07 November 2026
Essay paper: 05 November 2026</t>
        </is>
      </c>
      <c r="G9" t="inlineStr">
        <is>
          <t>Registration / login details as asked on the portal</t>
        </is>
      </c>
      <c r="H9" t="inlineStr">
        <is>
          <t>Dates for later stages not yet announced</t>
        </is>
      </c>
      <c r="N9" t="inlineStr">
        <is>
          <t>Admit card download: https://www.opsc.gov.in/Public/OPSC/Default.aspx
OPSC official website: https://www.opsc.gov.in/</t>
        </is>
      </c>
      <c r="P9" t="inlineStr">
        <is>
          <t>No</t>
        </is>
      </c>
    </row>
    <row r="10">
      <c r="A10" t="n">
        <v>9</v>
      </c>
      <c r="B10" t="inlineStr">
        <is>
          <t>SGPGI Nursing Officer Admit Card 2026</t>
        </is>
      </c>
      <c r="C10" t="inlineStr">
        <is>
          <t>Sanjay Gandhi Postgraduate Institute of Medical Sciences (SGPGIMS), Lucknow</t>
        </is>
      </c>
      <c r="D10" t="inlineStr">
        <is>
          <t>I/08/1-11/Rectt/2025-26 &amp; I/08/12/Rectt/2025-26</t>
        </is>
      </c>
      <c r="F10" t="inlineStr">
        <is>
          <t>Exam city intimation: 22 October 2026
Admit card released: 30 October 2026
Stage-II / Mains exam: 01 November 2026</t>
        </is>
      </c>
      <c r="G10" t="inlineStr">
        <is>
          <t>Application number
Date of birth</t>
        </is>
      </c>
      <c r="H10" t="inlineStr">
        <is>
          <t>Stage-II result
Further recruitment procedures for qualifying candidates</t>
        </is>
      </c>
      <c r="N10" t="inlineStr">
        <is>
          <t>Admit card download: https://sgpgims.eapplynow.com/AdvtI08/Pages/CBTAC01Login7.aspx
SGPGIMS official website: https://sgpgims.org.in/</t>
        </is>
      </c>
      <c r="P10" t="inlineStr">
        <is>
          <t>No</t>
        </is>
      </c>
    </row>
    <row r="11">
      <c r="A11" t="n">
        <v>10</v>
      </c>
      <c r="B11" t="inlineStr">
        <is>
          <t>SSC JE Tier 1 Admit Card 2026</t>
        </is>
      </c>
      <c r="C11" t="inlineStr">
        <is>
          <t>Staff Selection Commission (SSC)</t>
        </is>
      </c>
      <c r="E11" t="n">
        <v>1699</v>
      </c>
      <c r="F11" t="inlineStr">
        <is>
          <t>Admit card released: 30 October 2026 onwards
Exam window 1: 02 – 06 November 2026
Exam window 2: 30 November – 01 December 2026</t>
        </is>
      </c>
      <c r="G11" t="inlineStr">
        <is>
          <t>Registered login credentials</t>
        </is>
      </c>
      <c r="H11" t="inlineStr">
        <is>
          <t>Answer key
Response sheet
Paper-I result and further recruitment stages</t>
        </is>
      </c>
      <c r="N11" t="inlineStr">
        <is>
          <t>Candidate login: https://ssc.gov.in/login
SSC official website: https://ssc.gov.in/</t>
        </is>
      </c>
      <c r="P11" t="inlineStr">
        <is>
          <t>No</t>
        </is>
      </c>
    </row>
    <row r="12">
      <c r="A12" t="n">
        <v>11</v>
      </c>
      <c r="B12" t="inlineStr">
        <is>
          <t>Jharkhand JTET Admit Card 2026</t>
        </is>
      </c>
      <c r="C12" t="inlineStr">
        <is>
          <t>Jharkhand Academic Council (JAC), Ranchi</t>
        </is>
      </c>
      <c r="F12" t="inlineStr">
        <is>
          <t>Admit card released: 15 October 2026
Exam date: 01 November 2026</t>
        </is>
      </c>
      <c r="G12" t="inlineStr">
        <is>
          <t>Registration details
Password or date of birth</t>
        </is>
      </c>
      <c r="H12" t="inlineStr">
        <is>
          <t>Answer key
Objection window
Result (TET qualification only, not direct recruitment)</t>
        </is>
      </c>
      <c r="N12" t="inlineStr">
        <is>
          <t>Admit card download: https://jactetonline.com/
JAC official website: https://jac.jharkhand.gov.in/</t>
        </is>
      </c>
      <c r="P12" t="inlineStr">
        <is>
          <t>No</t>
        </is>
      </c>
    </row>
    <row r="13">
      <c r="A13" t="n">
        <v>12</v>
      </c>
      <c r="B13" t="inlineStr">
        <is>
          <t>CG Vyapam Assistant Teacher Admit Card 2026 (LSAT26)</t>
        </is>
      </c>
      <c r="C13" t="inlineStr">
        <is>
          <t>Chhattisgarh Staff Selection Board (CG Vyapam)</t>
        </is>
      </c>
      <c r="D13" t="inlineStr">
        <is>
          <t>LSAT26</t>
        </is>
      </c>
      <c r="F13" t="inlineStr">
        <is>
          <t>Admit card released: 29 October 2026 (updated)
Revised exam date: 06 December 2026</t>
        </is>
      </c>
      <c r="G13" t="inlineStr">
        <is>
          <t>Registered candidate portal credentials</t>
        </is>
      </c>
      <c r="K13" t="inlineStr">
        <is>
          <t>100 objective-type questions, 100 marks, 2 hours 15 minutes, offline OMR-based</t>
        </is>
      </c>
      <c r="N13" t="inlineStr">
        <is>
          <t>Admit card download: https://vyapamprofile.cgstate.gov.in/online/
CG Vyapam official website: https://vyapamcg.cgstate.gov.in/</t>
        </is>
      </c>
      <c r="P13" t="inlineStr">
        <is>
          <t>No</t>
        </is>
      </c>
    </row>
    <row r="14">
      <c r="A14" t="n">
        <v>13</v>
      </c>
      <c r="B14" t="inlineStr">
        <is>
          <t>UPSSSC PET Admit Card 2026</t>
        </is>
      </c>
      <c r="C14" t="inlineStr">
        <is>
          <t>UP Subordinate Services Selection Commission (UPSSSC)</t>
        </is>
      </c>
      <c r="D14" t="inlineStr">
        <is>
          <t>16-Exam/2026</t>
        </is>
      </c>
      <c r="F14" t="inlineStr">
        <is>
          <t>Exam city intimation slip: 12 October 2026
Admit card released: 17 / 23 / 25 October 2026 (per exam date)
Exam dates: 25 October, 30 October, 01 November 2026</t>
        </is>
      </c>
      <c r="G14" t="inlineStr">
        <is>
          <t>Registration number (OTR)
Date of birth</t>
        </is>
      </c>
      <c r="K14" t="inlineStr">
        <is>
          <t>100 objective-type MCQs, 100 marks, 2 hours, pen &amp; paper mode</t>
        </is>
      </c>
      <c r="N14" t="inlineStr">
        <is>
          <t>Admit card download: https://upsssc.gov.in/upssscadmitcard/AdmitCard.aspx?ID=P
UPSSSC official website: https://upsssc.gov.in/</t>
        </is>
      </c>
      <c r="P14" t="inlineStr">
        <is>
          <t>No</t>
        </is>
      </c>
    </row>
  </sheetData>
  <autoFilter ref="A1:P5"/>
  <dataValidations count="1">
    <dataValidation sqref="P2:P5" showDropDown="0" showInputMessage="0" showErrorMessage="0" allowBlank="1" type="list">
      <formula1>"No,Writing,Done"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" sqref="A1"/>
    </sheetView>
  </sheetViews>
  <sheetFormatPr baseColWidth="8" defaultColWidth="8.6640625" defaultRowHeight="14.4"/>
  <cols>
    <col width="5" customWidth="1" min="1" max="1"/>
    <col width="36" customWidth="1" min="2" max="2"/>
    <col width="28" customWidth="1" min="3" max="3"/>
    <col width="18" customWidth="1" min="4" max="4"/>
    <col width="10" customWidth="1" min="5" max="5"/>
    <col width="40" customWidth="1" min="6" max="6"/>
    <col width="24" customWidth="1" min="7" max="7"/>
    <col width="30" customWidth="1" min="8" max="8"/>
    <col width="22" customWidth="1" min="9" max="9"/>
    <col width="34" customWidth="1" min="10" max="10"/>
    <col width="44" customWidth="1" min="11" max="11"/>
    <col width="30" customWidth="1" min="12" max="12"/>
    <col width="50" customWidth="1" min="13" max="14"/>
    <col width="40" customWidth="1" min="15" max="15"/>
    <col width="11" customWidth="1" min="16" max="16"/>
  </cols>
  <sheetData>
    <row r="1" ht="33.75" customHeight="1">
      <c r="A1" s="6" t="inlineStr">
        <is>
          <t>#</t>
        </is>
      </c>
      <c r="B1" s="6" t="inlineStr">
        <is>
          <t>Title</t>
        </is>
      </c>
      <c r="C1" s="6" t="inlineStr">
        <is>
          <t>Organisation</t>
        </is>
      </c>
      <c r="D1" s="6" t="inlineStr">
        <is>
          <t>Advt. no.</t>
        </is>
      </c>
      <c r="E1" s="6" t="inlineStr">
        <is>
          <t>Total posts</t>
        </is>
      </c>
      <c r="F1" s="6" t="inlineStr">
        <is>
          <t>Key dates</t>
        </is>
      </c>
      <c r="G1" s="6" t="inlineStr">
        <is>
          <t>Login needed</t>
        </is>
      </c>
      <c r="H1" s="6" t="inlineStr">
        <is>
          <t>Next stages</t>
        </is>
      </c>
      <c r="I1" s="6" t="inlineStr">
        <is>
          <t>Fee</t>
        </is>
      </c>
      <c r="J1" s="6" t="inlineStr">
        <is>
          <t>Eligibility</t>
        </is>
      </c>
      <c r="K1" s="6" t="inlineStr">
        <is>
          <t>Exam pattern</t>
        </is>
      </c>
      <c r="L1" s="6" t="inlineStr">
        <is>
          <t>Marking / notes</t>
        </is>
      </c>
      <c r="M1" s="6" t="inlineStr">
        <is>
          <t>Main topics</t>
        </is>
      </c>
      <c r="N1" s="6" t="inlineStr">
        <is>
          <t>Official links</t>
        </is>
      </c>
      <c r="O1" s="7" t="inlineStr">
        <is>
          <t>YOUR short info (write)</t>
        </is>
      </c>
      <c r="P1" s="6" t="inlineStr">
        <is>
          <t>Written?</t>
        </is>
      </c>
    </row>
    <row r="2" ht="92.40000000000001" customHeight="1">
      <c r="A2" s="8" t="n">
        <v>1</v>
      </c>
      <c r="B2" s="9" t="inlineStr">
        <is>
          <t>SSC GD Constable Result 2026</t>
        </is>
      </c>
      <c r="C2" s="8" t="inlineStr">
        <is>
          <t>Staff Selection Commission (SSC)</t>
        </is>
      </c>
      <c r="D2" s="8" t="n"/>
      <c r="E2" s="8" t="n">
        <v>25487</v>
      </c>
      <c r="F2" s="8" t="inlineStr">
        <is>
          <t>CBT exam: 27 April – 30 May 2026
Answer key: 15 June 2026
Result (qualified lists): 12 October 2026
PET / PST: To be announced by CAPF</t>
        </is>
      </c>
      <c r="G2" s="8" t="inlineStr">
        <is>
          <t>Roll number (to search the PDF list)</t>
        </is>
      </c>
      <c r="H2" s="8" t="inlineStr">
        <is>
          <t>Physical Efficiency Test (PET) &amp; Physical Standard Test (PST)
Document verification
Medical examination</t>
        </is>
      </c>
      <c r="I2" s="8" t="n"/>
      <c r="J2" s="8" t="n"/>
      <c r="K2" s="8" t="n"/>
      <c r="L2" s="8" t="n"/>
      <c r="M2" s="8" t="n"/>
      <c r="N2" s="8" t="inlineStr">
        <is>
          <t>Result list (PDF): https://ssc.gov.in/api/attachment/uploads/masterData/Results/LIST2_12102026.pdf
Cut-off write-up (PDF): https://ssc.gov.in/api/attachment/uploads/masterData/NoticeBoards/writeup_12102026.pdf
SSC official website: https://ssc.gov.in/</t>
        </is>
      </c>
      <c r="O2" s="11" t="n"/>
      <c r="P2" s="8" t="inlineStr">
        <is>
          <t>No</t>
        </is>
      </c>
    </row>
    <row r="3" ht="66" customHeight="1">
      <c r="A3" s="8" t="n">
        <v>2</v>
      </c>
      <c r="B3" s="9" t="inlineStr">
        <is>
          <t>SBI PO Prelims Result 2026</t>
        </is>
      </c>
      <c r="C3" s="8" t="inlineStr">
        <is>
          <t>State Bank of India (SBI)</t>
        </is>
      </c>
      <c r="D3" s="8" t="inlineStr">
        <is>
          <t>CRPD/PO/2026-27/09</t>
        </is>
      </c>
      <c r="E3" s="8" t="n">
        <v>1500</v>
      </c>
      <c r="F3" s="8" t="inlineStr">
        <is>
          <t>Prelims exam: 02 August 2026
Prelims result: 28 August 2026
Mains exam: As per SBI notice</t>
        </is>
      </c>
      <c r="G3" s="8" t="inlineStr">
        <is>
          <t>Roll number (to search the PDF list)</t>
        </is>
      </c>
      <c r="H3" s="8" t="inlineStr">
        <is>
          <t>Mains exam
Group exercise
Interview</t>
        </is>
      </c>
      <c r="I3" s="8" t="n"/>
      <c r="J3" s="8" t="n"/>
      <c r="K3" s="8" t="n"/>
      <c r="L3" s="8" t="n"/>
      <c r="M3" s="8" t="n"/>
      <c r="N3" s="8" t="inlineStr">
        <is>
          <t>Prelims result (PDF): https://sbi.bank.in/webfiles/uploads/files_2627/08/SBIPO2026-Prelims-WTRESULT-15_columns.pdf
SBI careers – current openings: https://sbi.bank.in/web/careers/current-openings</t>
        </is>
      </c>
      <c r="O3" s="11" t="n"/>
      <c r="P3" s="8" t="inlineStr">
        <is>
          <t>No</t>
        </is>
      </c>
    </row>
    <row r="4" ht="66" customHeight="1">
      <c r="A4" s="8" t="n">
        <v>3</v>
      </c>
      <c r="B4" s="9" t="inlineStr">
        <is>
          <t>BPSC Assistant Section Officer (ASO) Mains Result 2026</t>
        </is>
      </c>
      <c r="C4" s="8" t="inlineStr">
        <is>
          <t>Bihar Public Service Commission (BPSC)</t>
        </is>
      </c>
      <c r="D4" s="8" t="inlineStr">
        <is>
          <t>37/2025</t>
        </is>
      </c>
      <c r="E4" s="8" t="n">
        <v>41</v>
      </c>
      <c r="F4" s="8" t="inlineStr">
        <is>
          <t>Prelims exam: 10 September 2025
Mains exam: 27 February 2026
Final answer key: 06 April 2026
Mains result: 27 October 2026</t>
        </is>
      </c>
      <c r="G4" s="8" t="inlineStr">
        <is>
          <t>Roll number (to search the PDF list)</t>
        </is>
      </c>
      <c r="H4" s="8" t="inlineStr">
        <is>
          <t>Document verification
Final selection</t>
        </is>
      </c>
      <c r="I4" s="8" t="n"/>
      <c r="J4" s="8" t="n"/>
      <c r="K4" s="8" t="n"/>
      <c r="L4" s="8" t="n"/>
      <c r="M4" s="8" t="n"/>
      <c r="N4" s="8" t="inlineStr">
        <is>
          <t>Mains result (PDF): https://bpsc.bihar.gov.in/wp-content/uploads/BPSC_content/Notices/Results-372025-ASO-BPSC-Main-Competitive-Examination_BPSC-20261027-pd94j7.pdf
BPSC official website: https://bpsc.bihar.gov.in/</t>
        </is>
      </c>
      <c r="O4" s="11" t="n"/>
      <c r="P4" s="8" t="inlineStr">
        <is>
          <t>No</t>
        </is>
      </c>
    </row>
    <row r="5">
      <c r="A5" t="n">
        <v>4</v>
      </c>
      <c r="B5" t="inlineStr">
        <is>
          <t>RRB NTPC UG CBT 2 Result 2026</t>
        </is>
      </c>
      <c r="C5" t="inlineStr">
        <is>
          <t>Railway Recruitment Boards (RRB)</t>
        </is>
      </c>
      <c r="D5" t="inlineStr">
        <is>
          <t>CEN 07/2025</t>
        </is>
      </c>
      <c r="E5" t="n">
        <v>3058</v>
      </c>
      <c r="F5" t="inlineStr">
        <is>
          <t>CBT 2 exam: 17 September 2026
Result declared: 30 October 2026
Scorecard access: 30 October 2026 (5:00 PM onwards)
CBTST (typing skill test): 27 November 2026 (tentative)</t>
        </is>
      </c>
      <c r="G5" t="inlineStr">
        <is>
          <t>Registration number
Date of birth / password</t>
        </is>
      </c>
      <c r="H5" t="inlineStr">
        <is>
          <t>Computer-Based Typing Skill Test (for typist posts)
Document verification
Medical examination</t>
        </is>
      </c>
      <c r="N5" t="inlineStr">
        <is>
          <t>Result PDF: https://rrb.indianrailways.gov.in/
Scorecard portal: https://rrb.digialm.com/EForms/configuredHtml/33128/100181/login.html</t>
        </is>
      </c>
      <c r="P5" t="inlineStr">
        <is>
          <t>No</t>
        </is>
      </c>
    </row>
    <row r="6">
      <c r="A6" t="n">
        <v>5</v>
      </c>
      <c r="B6" t="inlineStr">
        <is>
          <t>RBI Grade B Phase 2 Score Card 2026</t>
        </is>
      </c>
      <c r="C6" t="inlineStr">
        <is>
          <t>Reserve Bank of India (RBI)</t>
        </is>
      </c>
      <c r="D6" t="inlineStr">
        <is>
          <t>RBISB/DA/01/2026-27</t>
        </is>
      </c>
      <c r="F6" t="inlineStr">
        <is>
          <t>Phase 2 exam: 25 July 2026
Final result: 15 October 2026
Score card released: 29 October 2026</t>
        </is>
      </c>
      <c r="G6" t="inlineStr">
        <is>
          <t>Roll number
Date of birth</t>
        </is>
      </c>
      <c r="H6" t="inlineStr">
        <is>
          <t>Interview for shortlisted candidates
Final selection based on combined Phase 2 + interview marks</t>
        </is>
      </c>
      <c r="N6" t="inlineStr">
        <is>
          <t>Score card: https://m.rbi.org.in/Scripts/Res_Ofcr_GRD_B_Gn_PH_II_2026.aspx
RBI opportunities portal: https://opportunities.rbi.org.in</t>
        </is>
      </c>
      <c r="P6" t="inlineStr">
        <is>
          <t>No</t>
        </is>
      </c>
    </row>
    <row r="7">
      <c r="A7" t="n">
        <v>6</v>
      </c>
      <c r="B7" t="inlineStr">
        <is>
          <t>UPSSSC Stenographer Skill Test Result 2026</t>
        </is>
      </c>
      <c r="C7" t="inlineStr">
        <is>
          <t>UP Subordinate Services Selection Commission (UPSSSC)</t>
        </is>
      </c>
      <c r="D7" t="inlineStr">
        <is>
          <t>09-Exam/2023 &amp; 13-Exam/2024</t>
        </is>
      </c>
      <c r="E7" t="n">
        <v>1557</v>
      </c>
      <c r="F7" t="inlineStr">
        <is>
          <t>Skill test: from 01 September 2026
Result released: 27 October 2026</t>
        </is>
      </c>
      <c r="G7" t="inlineStr">
        <is>
          <t>Roll number</t>
        </is>
      </c>
      <c r="H7" t="inlineStr">
        <is>
          <t>Document upload and eligibility verification (schedule to be announced)</t>
        </is>
      </c>
      <c r="N7" t="inlineStr">
        <is>
          <t>Result PDF: https://upsssc.gov.in/ViewPdf.aspx
Document upload: https://upsssc.gov.in/Modify/Applicant_Login_DocUploadForDV.aspx?ID=DV
UPSSSC official website: https://upsssc.gov.in/</t>
        </is>
      </c>
      <c r="P7" t="inlineStr">
        <is>
          <t>No</t>
        </is>
      </c>
    </row>
    <row r="8">
      <c r="A8" t="n">
        <v>7</v>
      </c>
      <c r="B8" t="inlineStr">
        <is>
          <t>RSSB Driver Result 2026</t>
        </is>
      </c>
      <c r="C8" t="inlineStr">
        <is>
          <t>Rajasthan Staff Selection Board (RSSB)</t>
        </is>
      </c>
      <c r="D8" t="inlineStr">
        <is>
          <t>20/2024</t>
        </is>
      </c>
      <c r="E8" t="n">
        <v>2756</v>
      </c>
      <c r="F8" t="inlineStr">
        <is>
          <t>Written exam: 23 November 2025
Result released: 29 October 2026
Online scrutiny form: 30 October – 12 November 2026</t>
        </is>
      </c>
      <c r="G8" t="inlineStr">
        <is>
          <t>SSO (Rajasthan Single Sign-On) ID</t>
        </is>
      </c>
      <c r="H8" t="inlineStr">
        <is>
          <t>Document verification and eligibility check after online scrutiny</t>
        </is>
      </c>
      <c r="N8" t="inlineStr">
        <is>
          <t>Result PDF: https://rssb.rajasthan.gov.in/storage/news_item/1793273784.pdf
SSO portal: https://sso.rajasthan.gov.in
RSSB official website: https://rssb.rajasthan.gov.in</t>
        </is>
      </c>
      <c r="P8" t="inlineStr">
        <is>
          <t>No</t>
        </is>
      </c>
    </row>
    <row r="9">
      <c r="A9" t="n">
        <v>8</v>
      </c>
      <c r="B9" t="inlineStr">
        <is>
          <t>SSC CPO SI PET/PST Result 2026</t>
        </is>
      </c>
      <c r="C9" t="inlineStr">
        <is>
          <t>Staff Selection Commission (SSC)</t>
        </is>
      </c>
      <c r="E9" t="n">
        <v>3073</v>
      </c>
      <c r="F9" t="inlineStr">
        <is>
          <t>Paper 1 exam: 09 – 12 December 2025
Paper 1 result: 30 March 2026
PET/PST: 21 – 30 July 2026
PET/PST result: 29 October 2026
Paper 2 exam: 28 November 2026 (tentative)</t>
        </is>
      </c>
      <c r="G9" t="inlineStr">
        <is>
          <t>Roll number</t>
        </is>
      </c>
      <c r="H9" t="inlineStr">
        <is>
          <t>Paper 2 examination
Medical examination
Document verification
Final selection</t>
        </is>
      </c>
      <c r="N9" t="inlineStr">
        <is>
          <t>Result list – female (PDF): https://ssc.gov.in/api/attachment/uploads/masterData/Results/LIST_1_29102026.pdf
Result list – male (PDF): https://ssc.gov.in/api/attachment/uploads/masterData/Results/LIST_2_29102026.pdf
SSC official website: https://ssc.gov.in/</t>
        </is>
      </c>
      <c r="P9" t="inlineStr">
        <is>
          <t>No</t>
        </is>
      </c>
    </row>
    <row r="10">
      <c r="A10" t="n">
        <v>9</v>
      </c>
      <c r="B10" t="inlineStr">
        <is>
          <t>RPSC Senior Teacher (2nd Grade) Result 2026</t>
        </is>
      </c>
      <c r="C10" t="inlineStr">
        <is>
          <t>Rajasthan Public Service Commission (RPSC)</t>
        </is>
      </c>
      <c r="D10" t="inlineStr">
        <is>
          <t>07/Exam/Sr. Teach. (Sec. Edu.)/RPSC/EP-I/2025-26</t>
        </is>
      </c>
      <c r="E10" t="n">
        <v>1661</v>
      </c>
      <c r="F10" t="inlineStr">
        <is>
          <t>Written exam: 16 – 18 July 2026
Result released: 28 October 2026
Detailed form / scrutiny: 03 – 09 November 2026</t>
        </is>
      </c>
      <c r="G10" t="inlineStr">
        <is>
          <t>Rajasthan SSO ID</t>
        </is>
      </c>
      <c r="H10" t="inlineStr">
        <is>
          <t>Detailed form cum scrutiny submission
Eligibility verification
Document verification</t>
        </is>
      </c>
      <c r="N10" t="inlineStr">
        <is>
          <t>Mathematics result (PDF): https://rpsc.rajasthan.gov.in/Static/Result/4AD503915DB84384BB2391C863ED4C90.pdf
RPSC official website: https://rpsc.rajasthan.gov.in</t>
        </is>
      </c>
      <c r="P10" t="inlineStr">
        <is>
          <t>No</t>
        </is>
      </c>
    </row>
    <row r="11">
      <c r="A11" t="n">
        <v>10</v>
      </c>
      <c r="B11" t="inlineStr">
        <is>
          <t>CSIR NEIST Driver Result 2026</t>
        </is>
      </c>
      <c r="C11" t="inlineStr">
        <is>
          <t>CSIR - North-East Institute of Science and Technology (CSIR-NEIST), Jorhat</t>
        </is>
      </c>
      <c r="D11" t="inlineStr">
        <is>
          <t>01/2026-REC</t>
        </is>
      </c>
      <c r="F11" t="inlineStr">
        <is>
          <t>Notice date: 28 October 2026
Skill test &amp; written exam: 06 – 07 December 2026 (tentative)</t>
        </is>
      </c>
      <c r="G11" t="inlineStr">
        <is>
          <t>Application ID</t>
        </is>
      </c>
      <c r="H11" t="inlineStr">
        <is>
          <t>Skill test and written examination</t>
        </is>
      </c>
      <c r="N11" t="inlineStr">
        <is>
          <t>CSIR-NEIST official website: https://www.neist.res.in/</t>
        </is>
      </c>
      <c r="P11" t="inlineStr">
        <is>
          <t>No</t>
        </is>
      </c>
    </row>
    <row r="12">
      <c r="A12" t="n">
        <v>11</v>
      </c>
      <c r="B12" t="inlineStr">
        <is>
          <t>UPPSC LT Grade Assistant Teacher Mains Result 2026</t>
        </is>
      </c>
      <c r="C12" t="inlineStr">
        <is>
          <t>Uttar Pradesh Public Service Commission (UPPSC)</t>
        </is>
      </c>
      <c r="D12" t="inlineStr">
        <is>
          <t>A-5/E-1/2025</t>
        </is>
      </c>
      <c r="E12" t="n">
        <v>7466</v>
      </c>
      <c r="F12" t="inlineStr">
        <is>
          <t>Mains exam (Maths &amp; Home Science): 16 – 18 May 2026
Mains result released: 29 October 2026</t>
        </is>
      </c>
      <c r="G12" t="inlineStr">
        <is>
          <t>Roll number</t>
        </is>
      </c>
      <c r="H12" t="inlineStr">
        <is>
          <t>Document verification</t>
        </is>
      </c>
      <c r="N12" t="inlineStr">
        <is>
          <t>Mathematics result (PDF): https://uppsc.up.nic.in/Open_PDF.aspx?I4PnQ0tBagnfpuRH59X6AccoBLogdbR7
Home Science result (PDF): https://uppsc.up.nic.in/Open_PDF.aspx?I4PnQ0tBagmzNJIRVKnDR3Q27gA3uurt
UPPSC official website: https://uppsc.up.nic.in/</t>
        </is>
      </c>
      <c r="P12" t="inlineStr">
        <is>
          <t>No</t>
        </is>
      </c>
    </row>
    <row r="13">
      <c r="A13" t="n">
        <v>12</v>
      </c>
      <c r="B13" t="inlineStr">
        <is>
          <t>Bharathiar University SDE Revaluation Result 2026</t>
        </is>
      </c>
      <c r="C13" t="inlineStr">
        <is>
          <t>Bharathiar University, Coimbatore</t>
        </is>
      </c>
      <c r="F13" t="inlineStr">
        <is>
          <t>Revaluation application deadline: 05 October 2026
Result announced: 29 October 2026 (3:42 PM)
Examination session: July 2026</t>
        </is>
      </c>
      <c r="G13" t="inlineStr">
        <is>
          <t>Personal details on result portal (register number etc.)</t>
        </is>
      </c>
      <c r="H13" t="inlineStr">
        <is>
          <t>Verify updated marks against original result
Contact university for discrepancies</t>
        </is>
      </c>
      <c r="N13" t="inlineStr">
        <is>
          <t>Result portal: https://results.b-u.ac.in/2026/sde_reval/index.html
University results page: https://b-u.ac.in/143/results</t>
        </is>
      </c>
      <c r="P13" t="inlineStr">
        <is>
          <t>No</t>
        </is>
      </c>
    </row>
    <row r="14">
      <c r="A14" t="n">
        <v>13</v>
      </c>
      <c r="B14" t="inlineStr">
        <is>
          <t>Tamil Nadu NEET PG Rank List 2026</t>
        </is>
      </c>
      <c r="C14" t="inlineStr">
        <is>
          <t>Selection Committee, Directorate of Medical Education and Research (DMER), Tamil Nadu</t>
        </is>
      </c>
      <c r="F14" t="inlineStr">
        <is>
          <t>Rank list released: 29 October 2026
Admission session: 2026–27</t>
        </is>
      </c>
      <c r="G14" t="inlineStr">
        <is>
          <t>Not required; search by application number, NEET PG roll number or name</t>
        </is>
      </c>
      <c r="H14" t="inlineStr">
        <is>
          <t>Grievance submission
Final merit list
Phase 1 web choice filling (dates pending)</t>
        </is>
      </c>
      <c r="N14" t="inlineStr">
        <is>
          <t>Rank list / official website: https://tnmedicalselection.net/</t>
        </is>
      </c>
      <c r="P14" t="inlineStr">
        <is>
          <t>No</t>
        </is>
      </c>
    </row>
  </sheetData>
  <autoFilter ref="A1:P4"/>
  <dataValidations count="1">
    <dataValidation sqref="P2:P4" showDropDown="0" showInputMessage="0" showErrorMessage="0" allowBlank="1" type="list">
      <formula1>"No,Writing,Done"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4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" sqref="A1"/>
    </sheetView>
  </sheetViews>
  <sheetFormatPr baseColWidth="8" defaultColWidth="8.6640625" defaultRowHeight="14.4"/>
  <cols>
    <col width="5" customWidth="1" min="1" max="1"/>
    <col width="36" customWidth="1" min="2" max="2"/>
    <col width="28" customWidth="1" min="3" max="3"/>
    <col width="18" customWidth="1" min="4" max="4"/>
    <col width="10" customWidth="1" min="5" max="5"/>
    <col width="40" customWidth="1" min="6" max="6"/>
    <col width="24" customWidth="1" min="7" max="7"/>
    <col width="30" customWidth="1" min="8" max="8"/>
    <col width="22" customWidth="1" min="9" max="9"/>
    <col width="34" customWidth="1" min="10" max="10"/>
    <col width="44" customWidth="1" min="11" max="11"/>
    <col width="30" customWidth="1" min="12" max="12"/>
    <col width="50" customWidth="1" min="13" max="14"/>
    <col width="40" customWidth="1" min="15" max="15"/>
    <col width="11" customWidth="1" min="16" max="16"/>
  </cols>
  <sheetData>
    <row r="1" ht="33.75" customHeight="1">
      <c r="A1" s="6" t="inlineStr">
        <is>
          <t>#</t>
        </is>
      </c>
      <c r="B1" s="6" t="inlineStr">
        <is>
          <t>Title</t>
        </is>
      </c>
      <c r="C1" s="6" t="inlineStr">
        <is>
          <t>Organisation</t>
        </is>
      </c>
      <c r="D1" s="6" t="inlineStr">
        <is>
          <t>Advt. no.</t>
        </is>
      </c>
      <c r="E1" s="6" t="inlineStr">
        <is>
          <t>Total posts</t>
        </is>
      </c>
      <c r="F1" s="6" t="inlineStr">
        <is>
          <t>Key dates</t>
        </is>
      </c>
      <c r="G1" s="6" t="inlineStr">
        <is>
          <t>Login needed</t>
        </is>
      </c>
      <c r="H1" s="6" t="inlineStr">
        <is>
          <t>Next stages</t>
        </is>
      </c>
      <c r="I1" s="6" t="inlineStr">
        <is>
          <t>Fee</t>
        </is>
      </c>
      <c r="J1" s="6" t="inlineStr">
        <is>
          <t>Eligibility</t>
        </is>
      </c>
      <c r="K1" s="6" t="inlineStr">
        <is>
          <t>Exam pattern</t>
        </is>
      </c>
      <c r="L1" s="6" t="inlineStr">
        <is>
          <t>Marking / notes</t>
        </is>
      </c>
      <c r="M1" s="6" t="inlineStr">
        <is>
          <t>Main topics</t>
        </is>
      </c>
      <c r="N1" s="6" t="inlineStr">
        <is>
          <t>Official links</t>
        </is>
      </c>
      <c r="O1" s="7" t="inlineStr">
        <is>
          <t>YOUR short info (write)</t>
        </is>
      </c>
      <c r="P1" s="6" t="inlineStr">
        <is>
          <t>Written?</t>
        </is>
      </c>
    </row>
    <row r="2" ht="118.8" customHeight="1">
      <c r="A2" s="8" t="n">
        <v>1</v>
      </c>
      <c r="B2" s="9" t="inlineStr">
        <is>
          <t>RRB Technician Answer Key 2026</t>
        </is>
      </c>
      <c r="C2" s="8" t="inlineStr">
        <is>
          <t>Railway Recruitment Board (RRB)</t>
        </is>
      </c>
      <c r="D2" s="8" t="inlineStr">
        <is>
          <t>CEN 02/2026</t>
        </is>
      </c>
      <c r="E2" s="8" t="n">
        <v>6557</v>
      </c>
      <c r="F2" s="8" t="inlineStr">
        <is>
          <t>CBT exam: 06 – 09 October 2026
Answer key released: 15 October 2026
Objection window: As per RRB notice
Result: To be announced</t>
        </is>
      </c>
      <c r="G2" s="8" t="inlineStr">
        <is>
          <t>Registration number
Date of birth</t>
        </is>
      </c>
      <c r="H2" s="8" t="n"/>
      <c r="I2" s="8" t="n"/>
      <c r="J2" s="8" t="n"/>
      <c r="K2" s="8" t="n"/>
      <c r="L2" s="8" t="n"/>
      <c r="M2" s="8" t="n"/>
      <c r="N2" s="8" t="inlineStr">
        <is>
          <t>Grade I Signal – answer key notice: https://rrb.indianrailways.gov.in/-/image/1792060256462Notice_on_viewing_of_obj_tracker_Tech_Grade-I_Signal.pdf/examsDocuments
Grade III – answer key notice: https://rrb.indianrailways.gov.in/-/image/1792060491825Notice_on_viewing_of_obj_tracker__Tech_Grade_III.pdf/examsDocuments
RRB candidate portal: https://www.rrbapply.gov.in/</t>
        </is>
      </c>
      <c r="O2" s="11" t="n"/>
      <c r="P2" s="8" t="inlineStr">
        <is>
          <t>No</t>
        </is>
      </c>
    </row>
    <row r="3" ht="79.2" customHeight="1">
      <c r="A3" s="8" t="n">
        <v>2</v>
      </c>
      <c r="B3" s="9" t="inlineStr">
        <is>
          <t>RRB Section Controller Answer Key 2026</t>
        </is>
      </c>
      <c r="C3" s="8" t="inlineStr">
        <is>
          <t>Railway Recruitment Board (RRB)</t>
        </is>
      </c>
      <c r="D3" s="8" t="inlineStr">
        <is>
          <t>CEN 03/2026</t>
        </is>
      </c>
      <c r="E3" s="8" t="n">
        <v>119</v>
      </c>
      <c r="F3" s="8" t="inlineStr">
        <is>
          <t>CBT exam: 12 – 13 October 2026
Answer key released: 16 October 2026
Objection window: As per RRB notice
Result: To be announced</t>
        </is>
      </c>
      <c r="G3" s="8" t="inlineStr">
        <is>
          <t>Registration number
Date of birth</t>
        </is>
      </c>
      <c r="H3" s="8" t="n"/>
      <c r="I3" s="8" t="n"/>
      <c r="J3" s="8" t="n"/>
      <c r="K3" s="8" t="n"/>
      <c r="L3" s="8" t="n"/>
      <c r="M3" s="8" t="n"/>
      <c r="N3" s="8" t="inlineStr">
        <is>
          <t>Objection tracker notice (PDF): https://rrb.indianrailways.gov.in/-/image/1792070657420English_CEN_03_2026_Section_Controller_Objection_Tracker_notice_15.10.2026.pdf/examsDocuments
RRB official website: https://rrb.indianrailways.gov.in/</t>
        </is>
      </c>
      <c r="O3" s="11" t="n"/>
      <c r="P3" s="8" t="inlineStr">
        <is>
          <t>No</t>
        </is>
      </c>
    </row>
    <row r="4" ht="52.8" customHeight="1">
      <c r="A4" s="8" t="n">
        <v>3</v>
      </c>
      <c r="B4" s="9" t="inlineStr">
        <is>
          <t>SSC Stenographer Grade C &amp; D Answer Key 2026</t>
        </is>
      </c>
      <c r="C4" s="8" t="inlineStr">
        <is>
          <t>Staff Selection Commission (SSC)</t>
        </is>
      </c>
      <c r="D4" s="8" t="n"/>
      <c r="E4" s="8" t="n">
        <v>1275</v>
      </c>
      <c r="F4" s="8" t="inlineStr">
        <is>
          <t>Exam dates: 09 – 15 September 2026
Answer key released: 23 September 2026
Result: To be announced</t>
        </is>
      </c>
      <c r="G4" s="8" t="inlineStr">
        <is>
          <t>Registration number / user ID
Password</t>
        </is>
      </c>
      <c r="H4" s="8" t="n"/>
      <c r="I4" s="8" t="n"/>
      <c r="J4" s="8" t="n"/>
      <c r="K4" s="8" t="n"/>
      <c r="L4" s="8" t="n"/>
      <c r="M4" s="8" t="n"/>
      <c r="N4" s="8" t="inlineStr">
        <is>
          <t>Answer key notice (PDF): https://ssc.gov.in/api/attachment/uploads/masterData/NoticeBoards/Approved_WriteUp_23092026.pdf
SSC candidate login: https://ssc.gov.in/login</t>
        </is>
      </c>
      <c r="O4" s="11" t="n"/>
      <c r="P4" s="8" t="inlineStr">
        <is>
          <t>No</t>
        </is>
      </c>
    </row>
    <row r="5">
      <c r="A5" t="n">
        <v>4</v>
      </c>
      <c r="B5" t="inlineStr">
        <is>
          <t>JKSSB Junior Theatre Technician Provisional Answer Key 2026</t>
        </is>
      </c>
      <c r="C5" t="inlineStr">
        <is>
          <t>Jammu and Kashmir Services Selection Board (JKSSB)</t>
        </is>
      </c>
      <c r="D5" t="inlineStr">
        <is>
          <t>07 of 2025 (Item 109–116)</t>
        </is>
      </c>
      <c r="F5" t="inlineStr">
        <is>
          <t>Written exam: 29 October 2026
Provisional answer key released: 29 October 2026
Objection window: 30 October 2026 onwards (3 working days, 11:00 AM–5:00 PM)</t>
        </is>
      </c>
      <c r="G5" t="inlineStr">
        <is>
          <t>Not required to view answer key</t>
        </is>
      </c>
      <c r="H5" t="inlineStr">
        <is>
          <t>Objection submission (offline, ₹200/question, refundable if upheld)
Final answer key
Result</t>
        </is>
      </c>
      <c r="N5" t="inlineStr">
        <is>
          <t>Answer key (PDF): https://jkssb.nic.in/Pdf/PROV_ANSKEY_29102026.pdf
JKSSB official website: https://jkssb.nic.in/</t>
        </is>
      </c>
      <c r="P5" t="inlineStr">
        <is>
          <t>No</t>
        </is>
      </c>
    </row>
    <row r="6">
      <c r="A6" t="n">
        <v>5</v>
      </c>
      <c r="B6" t="inlineStr">
        <is>
          <t>Kerala PSC Junior Lab Assistant Final Answer Key 2026</t>
        </is>
      </c>
      <c r="C6" t="inlineStr">
        <is>
          <t>Kerala Public Service Commission (Kerala PSC)</t>
        </is>
      </c>
      <c r="D6" t="inlineStr">
        <is>
          <t>733/2025</t>
        </is>
      </c>
      <c r="F6" t="inlineStr">
        <is>
          <t>Examination: 03 October 2026
Provisional answer key: 05 October 2026
Final answer key released: 30 October 2026</t>
        </is>
      </c>
      <c r="G6" t="inlineStr">
        <is>
          <t>Not required to download answer key</t>
        </is>
      </c>
      <c r="H6" t="inlineStr">
        <is>
          <t>Shortlist / probability list / ranked list per recruitment procedure</t>
        </is>
      </c>
      <c r="N6" t="inlineStr">
        <is>
          <t>Final answer key (PDF): https://keralapsc.gov.in/sites/default/files/2026-10/Jr.%20Lab%20Asst.%20-%20Final%20Key.pdf
Kerala PSC official website: https://keralapsc.gov.in/</t>
        </is>
      </c>
      <c r="P6" t="inlineStr">
        <is>
          <t>No</t>
        </is>
      </c>
    </row>
    <row r="7">
      <c r="A7" t="n">
        <v>6</v>
      </c>
      <c r="B7" t="inlineStr">
        <is>
          <t>ISRO VSSC Revised Answer Key 2026</t>
        </is>
      </c>
      <c r="C7" t="inlineStr">
        <is>
          <t>Vikram Sarabhai Space Centre (VSSC), ISRO</t>
        </is>
      </c>
      <c r="D7" t="inlineStr">
        <is>
          <t>332, 334, 336, 337</t>
        </is>
      </c>
      <c r="F7" t="inlineStr">
        <is>
          <t>CBT exam: 16–17 September 2026
Initial objection portal: 23 September 2026
Revised answer key released: 29 October 2026
Post-objection portal access: 29 October – 02 November 2026</t>
        </is>
      </c>
      <c r="G7" t="inlineStr">
        <is>
          <t>VSSC registration number
Password</t>
        </is>
      </c>
      <c r="H7" t="inlineStr">
        <is>
          <t>CBT result declaration (date not yet announced)</t>
        </is>
      </c>
      <c r="N7" t="inlineStr">
        <is>
          <t>Post-objection portal: https://cdn.digialm.com/EForms/configuredHtml/1258/102023/login.html
VSSC official website: https://www.vssc.gov.in/</t>
        </is>
      </c>
      <c r="P7" t="inlineStr">
        <is>
          <t>No</t>
        </is>
      </c>
    </row>
    <row r="8">
      <c r="A8" t="n">
        <v>7</v>
      </c>
      <c r="B8" t="inlineStr">
        <is>
          <t>Delhi Cantonment Board AE &amp; JE Answer Key 2026</t>
        </is>
      </c>
      <c r="C8" t="inlineStr">
        <is>
          <t>Delhi Cantonment Board</t>
        </is>
      </c>
      <c r="D8" t="inlineStr">
        <is>
          <t>01/2026</t>
        </is>
      </c>
      <c r="E8" t="n">
        <v>9</v>
      </c>
      <c r="F8" t="inlineStr">
        <is>
          <t>JE exam: 25 October 2026
Answer key released: 29 October 2026
AE (Civil) exam: 01 November 2026
AE (Mechanical) exam: 15 November 2026</t>
        </is>
      </c>
      <c r="G8" t="inlineStr">
        <is>
          <t>DigiALM candidate login credentials</t>
        </is>
      </c>
      <c r="H8" t="inlineStr">
        <is>
          <t>Online objection submission
Final selection based on CBT (no separate interview)
Eligibility verification and medical fitness</t>
        </is>
      </c>
      <c r="N8" t="inlineStr">
        <is>
          <t>Answer key / response sheet: https://cdn.digialm.com/EForms/configuredHtml/1258/101630/login.html
Delhi Cantonment Board official website: https://delhi.cantt.gov.in/</t>
        </is>
      </c>
      <c r="P8" t="inlineStr">
        <is>
          <t>No</t>
        </is>
      </c>
    </row>
    <row r="9">
      <c r="A9" t="n">
        <v>8</v>
      </c>
      <c r="B9" t="inlineStr">
        <is>
          <t>Kerala PSC Various Post Final Answer Key 2026</t>
        </is>
      </c>
      <c r="C9" t="inlineStr">
        <is>
          <t>Kerala Public Service Commission (Kerala PSC)</t>
        </is>
      </c>
      <c r="D9" t="inlineStr">
        <is>
          <t>427/2025, 436/2025, 466/2025, 504/2025, 572/2025, 574/2025, 673/2025, 674/2025, 708/2025, 021/2026</t>
        </is>
      </c>
      <c r="F9" t="inlineStr">
        <is>
          <t>Superintendent exam: 22 September 2026
Clerk/related posts exam: 26 September 2026
Electricity Worker exam: 30 September 2026
Final answer key released: 29 October 2026</t>
        </is>
      </c>
      <c r="G9" t="inlineStr">
        <is>
          <t>One Time Registration (OTR) profile (objections stage only, now closed)</t>
        </is>
      </c>
      <c r="H9" t="inlineStr">
        <is>
          <t>Result publication and ranked list declaration</t>
        </is>
      </c>
      <c r="N9" t="inlineStr">
        <is>
          <t>Kerala PSC official website: https://keralapsc.gov.in/</t>
        </is>
      </c>
      <c r="P9" t="inlineStr">
        <is>
          <t>No</t>
        </is>
      </c>
    </row>
    <row r="10">
      <c r="A10" t="n">
        <v>9</v>
      </c>
      <c r="B10" t="inlineStr">
        <is>
          <t>GPSC Veterinary Officer Final Answer Key 2026</t>
        </is>
      </c>
      <c r="C10" t="inlineStr">
        <is>
          <t>Gujarat Public Service Commission (GPSC)</t>
        </is>
      </c>
      <c r="D10" t="inlineStr">
        <is>
          <t>110/2025-26, 128/2025-26, 2/2026-27</t>
        </is>
      </c>
      <c r="F10" t="inlineStr">
        <is>
          <t>Preliminary exam: 30 May 2026
Final answer key released: 28 October 2026</t>
        </is>
      </c>
      <c r="G10" t="inlineStr">
        <is>
          <t>Not required to access answer key</t>
        </is>
      </c>
      <c r="H10" t="inlineStr">
        <is>
          <t>Recruitment result, application scrutiny notices, further selection announcements</t>
        </is>
      </c>
      <c r="N10" t="inlineStr">
        <is>
          <t>Final answer key (PDF): https://gpsc.gujarat.gov.in/Documents/AdvertismentDocument/FAK-110-128-25-2-2-2026-27.pdf
GPSC official website: https://gpsc.gujarat.gov.in/</t>
        </is>
      </c>
      <c r="P10" t="inlineStr">
        <is>
          <t>No</t>
        </is>
      </c>
    </row>
    <row r="11">
      <c r="A11" t="n">
        <v>10</v>
      </c>
      <c r="B11" t="inlineStr">
        <is>
          <t>AEES Headmaster &amp; Headmistress Revised Answer Key 2026</t>
        </is>
      </c>
      <c r="C11" t="inlineStr">
        <is>
          <t>Atomic Energy Education Society (AEES)</t>
        </is>
      </c>
      <c r="F11" t="inlineStr">
        <is>
          <t>Revised answer key released: 28 October 2026</t>
        </is>
      </c>
      <c r="G11" t="inlineStr">
        <is>
          <t>Not mentioned</t>
        </is>
      </c>
      <c r="H11" t="inlineStr">
        <is>
          <t>Compare responses with revised key; objection process not confirmed (LDE promotion quota, vacancy year 2026)</t>
        </is>
      </c>
      <c r="N11" t="inlineStr">
        <is>
          <t>Revised answer key (PDF): https://www.aees.gov.in/DOCUMENTS/rv/HM_revised_answer_key.pdf
AEES official website: https://www.aees.gov.in/</t>
        </is>
      </c>
      <c r="P11" t="inlineStr">
        <is>
          <t>No</t>
        </is>
      </c>
    </row>
    <row r="12">
      <c r="A12" t="n">
        <v>11</v>
      </c>
      <c r="B12" t="inlineStr">
        <is>
          <t>JKSSB Driver Final Answer Key 2026</t>
        </is>
      </c>
      <c r="C12" t="inlineStr">
        <is>
          <t>Jammu and Kashmir Services Selection Board (JKSSB)</t>
        </is>
      </c>
      <c r="D12" t="inlineStr">
        <is>
          <t>04/2025, 07/2025, 09/2025</t>
        </is>
      </c>
      <c r="F12" t="inlineStr">
        <is>
          <t>Written exam: 18 October 2026
Provisional answer key: 18 October 2026
Final answer key released: 28 October 2026
Result published: 28 October 2026</t>
        </is>
      </c>
      <c r="G12" t="inlineStr">
        <is>
          <t>Not required to download answer key</t>
        </is>
      </c>
      <c r="H12" t="inlineStr">
        <is>
          <t>No further claims accepted; refunds for upheld objections</t>
        </is>
      </c>
      <c r="N12" t="inlineStr">
        <is>
          <t>Final answer key (PDF): https://jkssb.nic.in/Pdf/Final_answerkey_28102026.pdf
JKSSB official website: https://jkssb.nic.in/</t>
        </is>
      </c>
      <c r="P12" t="inlineStr">
        <is>
          <t>No</t>
        </is>
      </c>
    </row>
    <row r="13">
      <c r="A13" t="n">
        <v>12</v>
      </c>
      <c r="B13" t="inlineStr">
        <is>
          <t>HP High Court Court Manager, Stenographer Gr-III &amp; Driver Final Answer Key 2026</t>
        </is>
      </c>
      <c r="C13" t="inlineStr">
        <is>
          <t>High Court of Himachal Pradesh</t>
        </is>
      </c>
      <c r="F13" t="inlineStr">
        <is>
          <t>Court Manager screening test: 10 October 2026
Stenographer Gr-III &amp; Driver screening test: 11 October 2026
Final answer key released: 28 October 2026</t>
        </is>
      </c>
      <c r="G13" t="inlineStr">
        <is>
          <t>Not mentioned</t>
        </is>
      </c>
      <c r="H13" t="inlineStr">
        <is>
          <t>Screening test results
Skill test / document verification or other selection procedure</t>
        </is>
      </c>
      <c r="N13" t="inlineStr">
        <is>
          <t>Court Manager answer key (PDF): https://hphighcourt.nic.in/pdf/Information102820261793187470.pdf
HP High Court official website: https://hphighcourt.nic.in/</t>
        </is>
      </c>
      <c r="P13" t="inlineStr">
        <is>
          <t>No</t>
        </is>
      </c>
    </row>
    <row r="14">
      <c r="A14" t="n">
        <v>13</v>
      </c>
      <c r="B14" t="inlineStr">
        <is>
          <t>Kerala PSC Junior Instructor (Catering &amp; Hospitality) Provisional Answer Key 2026</t>
        </is>
      </c>
      <c r="C14" t="inlineStr">
        <is>
          <t>Kerala Public Service Commission (Kerala PSC)</t>
        </is>
      </c>
      <c r="D14" t="inlineStr">
        <is>
          <t>881/2025</t>
        </is>
      </c>
      <c r="F14" t="inlineStr">
        <is>
          <t>Exam date: 27 October 2026
Answer key released: 28 October 2026
Objection deadline: 01 November 2026</t>
        </is>
      </c>
      <c r="G14" t="inlineStr">
        <is>
          <t>One Time Registration (OTR) profile (for objections)</t>
        </is>
      </c>
      <c r="H14" t="inlineStr">
        <is>
          <t>Online objection submission
Final answer key
Result announcement</t>
        </is>
      </c>
      <c r="N14" t="inlineStr">
        <is>
          <t>Answer key download: https://keralapsc.gov.in/answerkey_onlineexams
OTR portal: https://thulasi.psc.kerala.gov.in/thulasi/</t>
        </is>
      </c>
      <c r="P14" t="inlineStr">
        <is>
          <t>No</t>
        </is>
      </c>
    </row>
  </sheetData>
  <autoFilter ref="A1:P4"/>
  <dataValidations count="1">
    <dataValidation sqref="P2:P4" showDropDown="0" showInputMessage="0" showErrorMessage="0" allowBlank="1" type="list">
      <formula1>"No,Writing,Done"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" sqref="A1"/>
    </sheetView>
  </sheetViews>
  <sheetFormatPr baseColWidth="8" defaultColWidth="8.6640625" defaultRowHeight="14.4"/>
  <cols>
    <col width="5" customWidth="1" min="1" max="1"/>
    <col width="36" customWidth="1" min="2" max="2"/>
    <col width="28" customWidth="1" min="3" max="3"/>
    <col width="18" customWidth="1" min="4" max="4"/>
    <col width="10" customWidth="1" min="5" max="5"/>
    <col width="40" customWidth="1" min="6" max="6"/>
    <col width="24" customWidth="1" min="7" max="7"/>
    <col width="30" customWidth="1" min="8" max="8"/>
    <col width="22" customWidth="1" min="9" max="9"/>
    <col width="34" customWidth="1" min="10" max="10"/>
    <col width="44" customWidth="1" min="11" max="11"/>
    <col width="30" customWidth="1" min="12" max="12"/>
    <col width="50" customWidth="1" min="13" max="14"/>
    <col width="40" customWidth="1" min="15" max="15"/>
    <col width="11" customWidth="1" min="16" max="16"/>
  </cols>
  <sheetData>
    <row r="1" ht="33.75" customHeight="1">
      <c r="A1" s="6" t="inlineStr">
        <is>
          <t>#</t>
        </is>
      </c>
      <c r="B1" s="6" t="inlineStr">
        <is>
          <t>Title</t>
        </is>
      </c>
      <c r="C1" s="6" t="inlineStr">
        <is>
          <t>Organisation</t>
        </is>
      </c>
      <c r="D1" s="6" t="inlineStr">
        <is>
          <t>Advt. no.</t>
        </is>
      </c>
      <c r="E1" s="6" t="inlineStr">
        <is>
          <t>Total posts</t>
        </is>
      </c>
      <c r="F1" s="6" t="inlineStr">
        <is>
          <t>Key dates</t>
        </is>
      </c>
      <c r="G1" s="6" t="inlineStr">
        <is>
          <t>Login needed</t>
        </is>
      </c>
      <c r="H1" s="6" t="inlineStr">
        <is>
          <t>Next stages</t>
        </is>
      </c>
      <c r="I1" s="6" t="inlineStr">
        <is>
          <t>Fee</t>
        </is>
      </c>
      <c r="J1" s="6" t="inlineStr">
        <is>
          <t>Eligibility</t>
        </is>
      </c>
      <c r="K1" s="6" t="inlineStr">
        <is>
          <t>Exam pattern</t>
        </is>
      </c>
      <c r="L1" s="6" t="inlineStr">
        <is>
          <t>Marking / notes</t>
        </is>
      </c>
      <c r="M1" s="6" t="inlineStr">
        <is>
          <t>Main topics</t>
        </is>
      </c>
      <c r="N1" s="6" t="inlineStr">
        <is>
          <t>Official links</t>
        </is>
      </c>
      <c r="O1" s="7" t="inlineStr">
        <is>
          <t>YOUR short info (write)</t>
        </is>
      </c>
      <c r="P1" s="6" t="inlineStr">
        <is>
          <t>Written?</t>
        </is>
      </c>
    </row>
    <row r="2" ht="66" customHeight="1">
      <c r="A2" s="8" t="n">
        <v>1</v>
      </c>
      <c r="B2" s="9" t="inlineStr">
        <is>
          <t>CLAT 2027 Online Form (UG &amp; PG)</t>
        </is>
      </c>
      <c r="C2" s="8" t="inlineStr">
        <is>
          <t>Consortium of National Law Universities</t>
        </is>
      </c>
      <c r="D2" s="8" t="n"/>
      <c r="E2" s="8" t="n"/>
      <c r="F2" s="8" t="inlineStr">
        <is>
          <t>Application starts: 03 August 2026
Last date to apply: 31 October 2026
Exam date: 06 December 2026</t>
        </is>
      </c>
      <c r="G2" s="8" t="n"/>
      <c r="H2" s="8" t="n"/>
      <c r="I2" s="8" t="inlineStr">
        <is>
          <t>General / OBC / others: ₹4,000
SC / ST / BPL: ₹3,500</t>
        </is>
      </c>
      <c r="J2" s="8" t="inlineStr">
        <is>
          <t>UG (5-year LLB) – 12th pass with 45% (40% for SC/ST); appearing students can apply
PG (LLM) – LLB with 55% (50% for SC/ST); final-year students can apply</t>
        </is>
      </c>
      <c r="K2" s="8" t="n"/>
      <c r="L2" s="8" t="n"/>
      <c r="M2" s="8" t="n"/>
      <c r="N2" s="8" t="inlineStr">
        <is>
          <t>Apply online: https://clat2027.consortiumofnlus.ac.in/clat-2027/
Consortium official website: https://consortiumofnlus.ac.in/</t>
        </is>
      </c>
      <c r="O2" s="11" t="n"/>
      <c r="P2" s="8" t="inlineStr">
        <is>
          <t>No</t>
        </is>
      </c>
    </row>
    <row r="3">
      <c r="A3" t="n">
        <v>2</v>
      </c>
      <c r="B3" t="inlineStr">
        <is>
          <t>AIAPGET PG Counselling 2026</t>
        </is>
      </c>
      <c r="C3" t="inlineStr">
        <is>
          <t>Ayush Admissions Central Counselling Committee (AACCC)</t>
        </is>
      </c>
      <c r="F3" t="inlineStr">
        <is>
          <t>Registration: 30 October 2026
Registration deadline: 03 November 2026 (2:00 PM)
Fee payment deadline: 03 November 2026 (5:00 PM)
Choice filling deadline: 03 November 2026 (11:55 PM)
Round 1 allotment result: 05 November 2026
Reporting period: 06–13 November 2026</t>
        </is>
      </c>
      <c r="G3" t="inlineStr">
        <is>
          <t>Registration credentials on AACCC counselling portal</t>
        </is>
      </c>
      <c r="H3" t="inlineStr">
        <is>
          <t>Round 1 reporting
Subsequent counselling rounds</t>
        </is>
      </c>
      <c r="I3" t="inlineStr">
        <is>
          <t>Govt/Aided/Central University/National Institute: ₹2,000 (UR/EWS/OBC-NCL), ₹1,000 (SC/ST/PwBD)
Deemed University: ₹5,000 (all categories)
Security deposit (refundable): ₹20,000 (Govt) / ₹50,000 (Deemed)</t>
        </is>
      </c>
      <c r="J3" t="inlineStr">
        <is>
          <t>Must have qualified AIAPGET 2026; admission to MD/MS in Ayurveda, Siddha, Unani, Homoeopathy (2026–27 session)</t>
        </is>
      </c>
      <c r="N3" t="inlineStr">
        <is>
          <t>Registration portal: https://aaccc.gov.in/pg-counselling/
Official website: https://exams.nta.nic.in/aiapget/</t>
        </is>
      </c>
      <c r="P3" t="inlineStr">
        <is>
          <t>No</t>
        </is>
      </c>
    </row>
    <row r="4">
      <c r="A4" t="n">
        <v>3</v>
      </c>
      <c r="B4" t="inlineStr">
        <is>
          <t>HBSE Board Exam 2027 Registration (Class 10 &amp; 12)</t>
        </is>
      </c>
      <c r="C4" t="inlineStr">
        <is>
          <t>Board of School Education Haryana (BSEH), Bhiwani</t>
        </is>
      </c>
      <c r="F4" t="inlineStr">
        <is>
          <t>Registration starts: 30 October 2026
Last date (no late fee): 26 November 2026
Last date (with late fee): 08 December 2026
Exam period: February–March 2027</t>
        </is>
      </c>
      <c r="G4" t="inlineStr">
        <is>
          <t>School/student login on BSEH portal</t>
        </is>
      </c>
      <c r="I4" t="inlineStr">
        <is>
          <t>Class 10: ₹1,150 exam + ₹100 migration = ₹1,250
Class 12: ₹1,200 exam + ₹100 migration = ₹1,300
Practical exam: ₹100/subject
Class 12 additional subject: ₹200</t>
        </is>
      </c>
      <c r="J4" t="inlineStr">
        <is>
          <t>Regular Secondary and Senior Secondary students, including recognised Gurukul/Vidyapeeth institutions</t>
        </is>
      </c>
      <c r="N4" t="inlineStr">
        <is>
          <t>Official website: https://bseh.org.in/</t>
        </is>
      </c>
      <c r="P4" t="inlineStr">
        <is>
          <t>No</t>
        </is>
      </c>
    </row>
  </sheetData>
  <autoFilter ref="A1:P2"/>
  <dataValidations count="1">
    <dataValidation sqref="P2" showDropDown="0" showInputMessage="0" showErrorMessage="0" allowBlank="1" type="list">
      <formula1>"No,Writing,Done"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4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" sqref="A1"/>
    </sheetView>
  </sheetViews>
  <sheetFormatPr baseColWidth="8" defaultColWidth="8.6640625" defaultRowHeight="14.4"/>
  <cols>
    <col width="5" customWidth="1" min="1" max="1"/>
    <col width="36" customWidth="1" min="2" max="2"/>
    <col width="28" customWidth="1" min="3" max="3"/>
    <col width="18" customWidth="1" min="4" max="4"/>
    <col width="10" customWidth="1" min="5" max="5"/>
    <col width="40" customWidth="1" min="6" max="6"/>
    <col width="24" customWidth="1" min="7" max="7"/>
    <col width="30" customWidth="1" min="8" max="8"/>
    <col width="22" customWidth="1" min="9" max="9"/>
    <col width="34" customWidth="1" min="10" max="10"/>
    <col width="44" customWidth="1" min="11" max="11"/>
    <col width="30" customWidth="1" min="12" max="12"/>
    <col width="50" customWidth="1" min="13" max="14"/>
    <col width="40" customWidth="1" min="15" max="15"/>
    <col width="11" customWidth="1" min="16" max="16"/>
  </cols>
  <sheetData>
    <row r="1" ht="33.75" customHeight="1">
      <c r="A1" s="6" t="inlineStr">
        <is>
          <t>#</t>
        </is>
      </c>
      <c r="B1" s="6" t="inlineStr">
        <is>
          <t>Title</t>
        </is>
      </c>
      <c r="C1" s="6" t="inlineStr">
        <is>
          <t>Organisation</t>
        </is>
      </c>
      <c r="D1" s="6" t="inlineStr">
        <is>
          <t>Advt. no.</t>
        </is>
      </c>
      <c r="E1" s="6" t="inlineStr">
        <is>
          <t>Total posts</t>
        </is>
      </c>
      <c r="F1" s="6" t="inlineStr">
        <is>
          <t>Key dates</t>
        </is>
      </c>
      <c r="G1" s="6" t="inlineStr">
        <is>
          <t>Login needed</t>
        </is>
      </c>
      <c r="H1" s="6" t="inlineStr">
        <is>
          <t>Next stages</t>
        </is>
      </c>
      <c r="I1" s="6" t="inlineStr">
        <is>
          <t>Fee</t>
        </is>
      </c>
      <c r="J1" s="6" t="inlineStr">
        <is>
          <t>Eligibility</t>
        </is>
      </c>
      <c r="K1" s="6" t="inlineStr">
        <is>
          <t>Exam pattern</t>
        </is>
      </c>
      <c r="L1" s="6" t="inlineStr">
        <is>
          <t>Marking / notes</t>
        </is>
      </c>
      <c r="M1" s="6" t="inlineStr">
        <is>
          <t>Main topics</t>
        </is>
      </c>
      <c r="N1" s="6" t="inlineStr">
        <is>
          <t>Official links</t>
        </is>
      </c>
      <c r="O1" s="7" t="inlineStr">
        <is>
          <t>YOUR short info (write)</t>
        </is>
      </c>
      <c r="P1" s="6" t="inlineStr">
        <is>
          <t>Written?</t>
        </is>
      </c>
    </row>
    <row r="2" ht="118.8" customHeight="1">
      <c r="A2" s="8" t="n">
        <v>1</v>
      </c>
      <c r="B2" s="9" t="inlineStr">
        <is>
          <t>SSC MTS Syllabus &amp; Exam Pattern</t>
        </is>
      </c>
      <c r="C2" s="8" t="inlineStr">
        <is>
          <t>Staff Selection Commission (SSC)</t>
        </is>
      </c>
      <c r="D2" s="8" t="n"/>
      <c r="E2" s="8" t="n"/>
      <c r="F2" s="8" t="n"/>
      <c r="G2" s="8" t="n"/>
      <c r="H2" s="8" t="n"/>
      <c r="I2" s="8" t="n"/>
      <c r="J2" s="8" t="n"/>
      <c r="K2" s="8" t="inlineStr">
        <is>
          <t>Session | Subject | Questions | Marks
Session 1 (45 min) | Numerical &amp; Mathematical Ability | 20 | 60
Session 1 | Reasoning Ability &amp; Problem Solving | 20 | 60
Session 2 (45 min) | General Awareness | 25 | 75
Session 2 | English Language &amp; Comprehension | 25 | 75</t>
        </is>
      </c>
      <c r="L2" s="8" t="inlineStr">
        <is>
          <t>No negative marking in Session 1
Session 2: 1 mark deducted for each wrong answer</t>
        </is>
      </c>
      <c r="M2" s="8" t="inlineStr">
        <is>
          <t>Maths: Number system, simplification, percentage, ratio &amp; proportion, average, interest, profit &amp; loss, time-speed-distance
Reasoning: Analogy, classification, coding-decoding, series, Venn diagrams, blood relations, puzzles
General Awareness: Static GK, general science, current affairs, important days, awards
English: Comprehension, error spotting, fill in the blanks, synonyms &amp; antonyms, idioms, one-word substitution</t>
        </is>
      </c>
      <c r="N2" s="8" t="inlineStr">
        <is>
          <t>SSC official website: https://ssc.gov.in/</t>
        </is>
      </c>
      <c r="O2" s="11" t="n"/>
      <c r="P2" s="8" t="inlineStr">
        <is>
          <t>No</t>
        </is>
      </c>
    </row>
    <row r="3" ht="158.4" customHeight="1">
      <c r="A3" s="8" t="n">
        <v>2</v>
      </c>
      <c r="B3" s="9" t="inlineStr">
        <is>
          <t>RRB Technician Syllabus &amp; Exam Pattern</t>
        </is>
      </c>
      <c r="C3" s="8" t="inlineStr">
        <is>
          <t>Railway Recruitment Board (RRB)</t>
        </is>
      </c>
      <c r="D3" s="8" t="n"/>
      <c r="E3" s="8" t="n"/>
      <c r="F3" s="8" t="n"/>
      <c r="G3" s="8" t="n"/>
      <c r="H3" s="8" t="n"/>
      <c r="I3" s="8" t="n"/>
      <c r="J3" s="8" t="n"/>
      <c r="K3" s="8" t="inlineStr">
        <is>
          <t>Grade | Subject | Questions | Marks
Gr-I Signal (90 min) | General Awareness | 10 | 10
Gr-I Signal | General Intelligence &amp; Reasoning | 15 | 15
Gr-I Signal | Basics of Computers &amp; Applications | 20 | 20
Gr-I Signal | Mathematics | 20 | 20
Gr-I Signal | Basic Science &amp; Engineering | 35 | 35
Gr-III (90 min) | Mathematics | 25 | 25
Gr-III | General Intelligence &amp; Reasoning | 25 | 25
Gr-III | General Science | 40 | 40
Gr-III | General Awareness | 10 | 10</t>
        </is>
      </c>
      <c r="L3" s="8" t="inlineStr">
        <is>
          <t>1/3 mark deducted for every wrong answer
PwBD candidates get 30 extra minutes</t>
        </is>
      </c>
      <c r="M3" s="8" t="inlineStr">
        <is>
          <t>Mathematics: Number system, fractions, LCM/HCF, percentage, mensuration, time &amp; work, algebra, geometry, trigonometry
Reasoning: Analogy, series, coding-decoding, syllogism, Venn diagrams, directions
General Science: Units, work-power-energy, heat, electricity, simple machines
Computers (Gr-I): Hardware, operating systems, networking, internet, data representation</t>
        </is>
      </c>
      <c r="N3" s="8" t="inlineStr">
        <is>
          <t>RRB candidate portal: https://www.rrbapply.gov.in/
Indian Railways official website: https://indianrailways.gov.in/</t>
        </is>
      </c>
      <c r="O3" s="11" t="n"/>
      <c r="P3" s="8" t="inlineStr">
        <is>
          <t>No</t>
        </is>
      </c>
    </row>
    <row r="4" ht="92.40000000000001" customHeight="1">
      <c r="A4" s="8" t="n">
        <v>3</v>
      </c>
      <c r="B4" s="9" t="inlineStr">
        <is>
          <t>CTET Paper I &amp; II Syllabus &amp; Exam Pattern</t>
        </is>
      </c>
      <c r="C4" s="8" t="inlineStr">
        <is>
          <t>CBSE</t>
        </is>
      </c>
      <c r="D4" s="8" t="n"/>
      <c r="E4" s="8" t="n"/>
      <c r="F4" s="8" t="n"/>
      <c r="G4" s="8" t="n"/>
      <c r="H4" s="8" t="n"/>
      <c r="I4" s="8" t="n"/>
      <c r="J4" s="8" t="n"/>
      <c r="K4" s="8" t="inlineStr">
        <is>
          <t>Paper | Sections | Questions | Marks
Paper I (Class 1–5), 2.5 hrs | Child Development &amp; Pedagogy, Language I, Language II, Mathematics, EVS | 150 | 150
Paper II (Class 6–8), 2.5 hrs | Child Development &amp; Pedagogy, Language I, Language II, Maths &amp; Science or Social Studies | 150 | 150</t>
        </is>
      </c>
      <c r="L4" s="8" t="inlineStr">
        <is>
          <t>Qualifying marks: 60% (General), 55% (reserved categories, as per bulletin)</t>
        </is>
      </c>
      <c r="M4" s="8" t="n"/>
      <c r="N4" s="8" t="inlineStr">
        <is>
          <t>CTET official website: https://ctet.nic.in/</t>
        </is>
      </c>
      <c r="O4" s="11" t="n"/>
      <c r="P4" s="8" t="inlineStr">
        <is>
          <t>No</t>
        </is>
      </c>
    </row>
    <row r="5">
      <c r="A5" t="n">
        <v>4</v>
      </c>
      <c r="B5" t="inlineStr">
        <is>
          <t>AEES PGT, TGT, PRT &amp; Balvatika Syllabus &amp; Exam Pattern</t>
        </is>
      </c>
      <c r="C5" t="inlineStr">
        <is>
          <t>Atomic Energy Education Society (AEES)</t>
        </is>
      </c>
      <c r="D5" t="inlineStr">
        <is>
          <t>01/2026</t>
        </is>
      </c>
      <c r="E5" t="n">
        <v>254</v>
      </c>
      <c r="K5" t="inlineStr">
        <is>
          <t>Pattern varies by post via separate CBT (see AEES Teaching Recruitment 2026): Principal/Vice-Principal – 150 questions, 150 marks, 2h30m; PGT/TGT/Librarian/PRT/Balvatika – 120 questions, 120 marks, 2 hours</t>
        </is>
      </c>
      <c r="L5" t="inlineStr">
        <is>
          <t>No negative marking</t>
        </is>
      </c>
      <c r="M5" t="inlineStr">
        <is>
          <t>PGT Mathematics: Algebra, Calculus, Trigonometry, Geometry, Probability &amp; Statistics
PGT Physics: Units, motion, thermodynamics, waves, electrostatics, optics, nuclear topics
PGT Chemistry: Physical, organic and inorganic chemistry
PRT: English comprehension, writing ability, grammar, Hindi, Mathematics, Understanding the World Around Us</t>
        </is>
      </c>
      <c r="N5" t="inlineStr">
        <is>
          <t>AEES recruitment page: https://www.aees.gov.in/recruitment.html
AEES official website: https://www.aees.gov.in/</t>
        </is>
      </c>
      <c r="P5" t="inlineStr">
        <is>
          <t>No</t>
        </is>
      </c>
    </row>
    <row r="6">
      <c r="A6" t="n">
        <v>5</v>
      </c>
      <c r="B6" t="inlineStr">
        <is>
          <t>Kolkata Police Constable Syllabus &amp; Exam Pattern</t>
        </is>
      </c>
      <c r="C6" t="inlineStr">
        <is>
          <t>West Bengal Police Recruitment Board</t>
        </is>
      </c>
      <c r="K6" t="inlineStr">
        <is>
          <t>Preliminary: 100 MCQs, 100 marks, 1 hour (General Awareness &amp; GK, Elementary Mathematics, Reasoning &amp; Logic)
Final written: 85 marks, 1 hour, MCQ (General Awareness, Elementary Mathematics, Reasoning &amp; Logical Analysis, English Language)</t>
        </is>
      </c>
      <c r="L6" t="inlineStr">
        <is>
          <t>Preliminary: 0.25 mark deducted per wrong answer</t>
        </is>
      </c>
      <c r="M6" t="inlineStr">
        <is>
          <t>General Awareness: Indian history, geography, polity, current affairs, sports, science, government schemes
Mathematics: Number systems, percentage, profit/loss, interest, ratio, average, time &amp; work, mensuration, algebra, geometry, data interpretation
Reasoning: Analogy, series, coding-decoding, blood relations, directions, syllogism, puzzles
English: Idioms, active/passive voice, sentence improvement, direct/indirect speech, grammar</t>
        </is>
      </c>
      <c r="N6" t="inlineStr">
        <is>
          <t>Official website: https://kolkatapolice.gov.in/</t>
        </is>
      </c>
      <c r="P6" t="inlineStr">
        <is>
          <t>No</t>
        </is>
      </c>
    </row>
    <row r="7">
      <c r="A7" t="n">
        <v>6</v>
      </c>
      <c r="B7" t="inlineStr">
        <is>
          <t>GSSSB Food Safety Officer Syllabus &amp; Exam Pattern</t>
        </is>
      </c>
      <c r="C7" t="inlineStr">
        <is>
          <t>Gujarat Subordinate Service Selection Board (GSSSB)</t>
        </is>
      </c>
      <c r="D7" t="inlineStr">
        <is>
          <t>465/2026-27, 466/2026-27</t>
        </is>
      </c>
      <c r="E7" t="n">
        <v>90</v>
      </c>
      <c r="K7" t="inlineStr">
        <is>
          <t>210 MCQs, 210 marks, 3 hours (CBRT/OMR)
Part A – 90 marks: Reasoning &amp; Data Interpretation 30, Quantitative Aptitude 30, Constitution of India 10, Current Affairs 10, Gujarati &amp; English Comprehension 10
Part B – 120 marks: Technical (Food Safety subjects)</t>
        </is>
      </c>
      <c r="L7" t="inlineStr">
        <is>
          <t>0.25 mark deducted per wrong answer; minimum 40% required separately in Part A and Part B</t>
        </is>
      </c>
      <c r="M7" t="inlineStr">
        <is>
          <t>Food Laws &amp; FSSAI Regulations (30)
Basic Food Science (20)
Food Microbiology &amp; Biotechnology (15)
Food &amp; Nutrition (5)
Preservation/Packaging/Storage (5)
Agricultural Science (5)
Food Safety/Quality/Hygiene (15)
Animal Product Processing (5)
Dairy Science (10)
Food Processing Technology (10)</t>
        </is>
      </c>
      <c r="N7" t="inlineStr">
        <is>
          <t>GSSSB official website: https://gsssb.gujarat.gov.in/
OJAS portal: https://ojas.gujarat.gov.in/</t>
        </is>
      </c>
      <c r="P7" t="inlineStr">
        <is>
          <t>No</t>
        </is>
      </c>
    </row>
    <row r="8">
      <c r="A8" t="n">
        <v>7</v>
      </c>
      <c r="B8" t="inlineStr">
        <is>
          <t>BEL Probationary Engineer Syllabus &amp; Exam Pattern</t>
        </is>
      </c>
      <c r="C8" t="inlineStr">
        <is>
          <t>Bharat Electronics Limited (BEL)</t>
        </is>
      </c>
      <c r="D8" t="inlineStr">
        <is>
          <t>17556/HR/All-India/2026</t>
        </is>
      </c>
      <c r="E8" t="n">
        <v>350</v>
      </c>
      <c r="K8" t="inlineStr">
        <is>
          <t>125 MCQs, 125 marks, 2 hours (CBT)
Part I – General Aptitude &amp; Reasoning: 25 questions, 25 marks
Part II – Discipline-specific technical: 100 questions, 100 marks</t>
        </is>
      </c>
      <c r="L8" t="inlineStr">
        <is>
          <t>0.25 mark deducted per wrong answer</t>
        </is>
      </c>
      <c r="M8" t="inlineStr">
        <is>
          <t>Part I: English language, Quantitative Aptitude, General Awareness, Reasoning Ability
Electronics Engineering: Network Theory, Analog/Digital Electronics, Signals &amp; Systems, Control Systems, Communication Systems, Electromagnetic Theory, Microprocessors, DSP, Antennas
Mechanical Engineering: Strength of Materials, Thermodynamics, Fluid Mechanics, Heat Transfer, Manufacturing Engineering, Theory of Machines, Machine Design, Materials Science</t>
        </is>
      </c>
      <c r="N8" t="inlineStr">
        <is>
          <t>Syllabus/notification (PDF): https://bel-india.in/wp-content/uploads/2026/10/External-Ad-2026-English-1.pdf
BEL official website: https://bel-india.in/</t>
        </is>
      </c>
      <c r="P8" t="inlineStr">
        <is>
          <t>No</t>
        </is>
      </c>
    </row>
    <row r="9">
      <c r="A9" t="n">
        <v>8</v>
      </c>
      <c r="B9" t="inlineStr">
        <is>
          <t>UPPSC RO/ARO Syllabus &amp; Exam Pattern</t>
        </is>
      </c>
      <c r="C9" t="inlineStr">
        <is>
          <t>Uttar Pradesh Public Service Commission (UPPSC)</t>
        </is>
      </c>
      <c r="D9" t="inlineStr">
        <is>
          <t>A-4/E-1/2026</t>
        </is>
      </c>
      <c r="E9" t="n">
        <v>501</v>
      </c>
      <c r="K9" t="inlineStr">
        <is>
          <t>Prelims: 200 objective questions, 200 marks, 3 hours (General Studies 140Q/140M, General Hindi 60Q/60M)
Mains (400 marks): Paper 1 General Studies 120M/2hrs; Paper 2A General Hindi &amp; Drafting 100M/2.5hrs; Paper 2B General Vocabulary 60M/30min; Paper 3 Hindi Essay 120M/3hrs</t>
        </is>
      </c>
      <c r="L9" t="inlineStr">
        <is>
          <t>Prelims: one-third mark deducted per wrong answer</t>
        </is>
      </c>
      <c r="M9" t="inlineStr">
        <is>
          <t>Prelims GS: General Science, Indian History/National Movement, Polity/Economy/Culture, Agriculture/Commerce, Geography, Current Events, UP-specific topics
Prelims Hindi: Antonyms, Sentence Correction, One-Word Substitution, Synonyms, Nouns/Adjectives
Mains Paper 2A: Précis writing, government letter précis, official correspondence, admin vocabulary, idioms, computer knowledge
Mains Paper 3: Literature/Social/Political; Science/Ecology/Economic; National Events/Disaster/Development essays</t>
        </is>
      </c>
      <c r="N9" t="inlineStr">
        <is>
          <t>UPPSC official website: https://uppsc.up.nic.in/
Official notification: https://uppsc.up.nic.in/OuterPages/View_Enclosure.aspx?ID=307&amp;flag=E&amp;FID=947</t>
        </is>
      </c>
      <c r="P9" t="inlineStr">
        <is>
          <t>No</t>
        </is>
      </c>
    </row>
    <row r="10">
      <c r="A10" t="n">
        <v>9</v>
      </c>
      <c r="B10" t="inlineStr">
        <is>
          <t>Odisha Police Constable Syllabus &amp; Exam Pattern</t>
        </is>
      </c>
      <c r="C10" t="inlineStr">
        <is>
          <t>Odisha Police</t>
        </is>
      </c>
      <c r="K10" t="inlineStr">
        <is>
          <t>100 MCQs, 100 marks, 2 hours (CBRE)
Odia Language 15, English Language 15, Arithmetic 20, General Knowledge 25, Situational Awareness &amp; Logical Reasoning 15, Basic Computer Knowledge 10</t>
        </is>
      </c>
      <c r="L10" t="inlineStr">
        <is>
          <t>0.25 mark deducted per wrong answer</t>
        </is>
      </c>
      <c r="M10" t="inlineStr">
        <is>
          <t>Odia: Reading comprehension, translation, idioms, vocabulary
English: Antonyms/synonyms, error spotting, cloze test, grammar
Arithmetic: Number systems, percentages, ratios, averages, interest, profit/loss, time-work, geometry
General Knowledge: Parliament, economy, history, geography, current affairs, science
Reasoning: Data interpretation, blood relations, syllogism, coding-decoding, clocks-calendars
Computer: Fundamentals, generations, input/output devices, networking</t>
        </is>
      </c>
      <c r="N10" t="inlineStr">
        <is>
          <t>Recruitment notices: https://police.odisha.gov.in/en/sun/recruitment</t>
        </is>
      </c>
      <c r="P10" t="inlineStr">
        <is>
          <t>No</t>
        </is>
      </c>
    </row>
    <row r="11">
      <c r="A11" t="n">
        <v>10</v>
      </c>
      <c r="B11" t="inlineStr">
        <is>
          <t>SCL Technician B &amp; Technical Assistant Syllabus &amp; Exam Pattern</t>
        </is>
      </c>
      <c r="C11" t="inlineStr">
        <is>
          <t>Semi-Conductor Laboratory (SCL), Mohali</t>
        </is>
      </c>
      <c r="D11" t="inlineStr">
        <is>
          <t>SCL:DR:01/2026</t>
        </is>
      </c>
      <c r="E11" t="n">
        <v>83</v>
      </c>
      <c r="K11" t="inlineStr">
        <is>
          <t>200 MCQs, 200 marks, 2 hours (CBT)
Part A – General (100 marks, 60 min): General English 25, Quantitative Aptitude 25, Reasoning 25, General Knowledge/Current Affairs 25
Part B – Technical (100 marks, 60 min): trade/discipline-specific</t>
        </is>
      </c>
      <c r="L11" t="inlineStr">
        <is>
          <t>0.25 mark deducted per wrong answer; qualifying CBT/skill test 50% (UR), 45% (OBC/EWS), 40% (SC/ST/PwBD/ESM)</t>
        </is>
      </c>
      <c r="M11" t="inlineStr">
        <is>
          <t>English: Vocabulary, grammar, synonyms/antonyms, error spotting, comprehension
Quantitative: Percentages, ratios, interest, profit/loss, geometry, mensuration, trigonometry
Reasoning: Analogies, classification, coding-decoding, figure series, Venn diagrams
GK: Current events, science, history/geography, economy
Electrician: AC/DC circuits, motors, transformers, wiring
Electronics: Components, power electronics, digital circuits, communication
Mechanical (TA): Thermodynamics, fluid mechanics, machine design, IC engines</t>
        </is>
      </c>
      <c r="N11" t="inlineStr">
        <is>
          <t>SCL official website: https://www.scl.gov.in/</t>
        </is>
      </c>
      <c r="P11" t="inlineStr">
        <is>
          <t>No</t>
        </is>
      </c>
    </row>
    <row r="12">
      <c r="A12" t="n">
        <v>11</v>
      </c>
      <c r="B12" t="inlineStr">
        <is>
          <t>NABARD Grade A Syllabus &amp; Exam Pattern</t>
        </is>
      </c>
      <c r="C12" t="inlineStr">
        <is>
          <t>National Bank for Agriculture and Rural Development (NABARD)</t>
        </is>
      </c>
      <c r="K12" t="inlineStr">
        <is>
          <t>Phase 1 (Prelims): 200 questions, 200 marks, 2 hours — Reasoning 20, English 30, Computer Knowledge 20, Quantitative Aptitude 20, Decision Making 10 (qualifying); General Awareness 20, Economic &amp; Social Issues 40, Agriculture &amp; Rural Development 40 (merit)
Phase 2 (Mains): Paper I General English (descriptive, 100 marks, 90 min); Paper II objective + descriptive (100 marks)
Interview: 50 marks</t>
        </is>
      </c>
      <c r="L12" t="inlineStr">
        <is>
          <t>Phase 1: one-fourth mark deducted per wrong answer</t>
        </is>
      </c>
      <c r="M12" t="inlineStr">
        <is>
          <t>Reasoning: Puzzles, syllogism, data sufficiency, coding-decoding, blood relations
Quantitative: Percentage, profit/loss, interest, data interpretation, number series
English: Reading comprehension, cloze tests, error spotting, grammar
Computer: Hardware, networking, MS Office, internet, DBMS
General Awareness: Current affairs, banking, economy, insurance
Economic &amp; Social Issues: Inflation, poverty, agriculture, globalisation
Agriculture &amp; Rural Development: Crop production, soil conservation, irrigation, animal husbandry</t>
        </is>
      </c>
      <c r="N12" t="inlineStr">
        <is>
          <t>NABARD official website: https://www.nabard.org/</t>
        </is>
      </c>
      <c r="P12" t="inlineStr">
        <is>
          <t>No</t>
        </is>
      </c>
    </row>
    <row r="13">
      <c r="A13" t="n">
        <v>12</v>
      </c>
      <c r="B13" t="inlineStr">
        <is>
          <t>WBPSC Clerkship Syllabus &amp; Exam Pattern</t>
        </is>
      </c>
      <c r="C13" t="inlineStr">
        <is>
          <t>Public Service Commission, West Bengal (WBPSC)</t>
        </is>
      </c>
      <c r="D13" t="inlineStr">
        <is>
          <t>12/2024</t>
        </is>
      </c>
      <c r="K13" t="inlineStr">
        <is>
          <t>Part I (Objective): 100 questions, 100 marks, 90 min — English 30, General Studies 40, Arithmetic 30
Part II (Descriptive): 100 marks, 60 min — Group A English 50, Group B regional language 50
Computer operation &amp; typing test after qualifying Parts I &amp; II</t>
        </is>
      </c>
      <c r="L13" t="inlineStr">
        <is>
          <t>Part I: 0.25 mark deducted per wrong answer</t>
        </is>
      </c>
      <c r="M13" t="inlineStr">
        <is>
          <t>English: Vocabulary, grammar, sentence structure, synonyms/antonyms
General Studies: Everyday science, current events, Indian history/geography
Arithmetic: Fractions, decimals, HCF/LCM, percentages, profit/loss, simple interest, ratios
Part II: Report drafting, précis writing, translation
Typing test: English 20 wpm, Bengali 10 wpm</t>
        </is>
      </c>
      <c r="N13" t="inlineStr">
        <is>
          <t>Syllabus (PDF): https://psc.wb.gov.in/Download?param1=Clerkship2024-SchemeSyllabus.pdf&amp;param2=advertisement
WBPSC official website: https://psc.wb.gov.in/</t>
        </is>
      </c>
      <c r="P13" t="inlineStr">
        <is>
          <t>No</t>
        </is>
      </c>
    </row>
    <row r="14">
      <c r="A14" t="n">
        <v>13</v>
      </c>
      <c r="B14" t="inlineStr">
        <is>
          <t>WBPSC Sub-Surveyor Syllabus &amp; Exam Pattern</t>
        </is>
      </c>
      <c r="C14" t="inlineStr">
        <is>
          <t>Public Service Commission, West Bengal (WBPSC)</t>
        </is>
      </c>
      <c r="D14" t="inlineStr">
        <is>
          <t>22/2024</t>
        </is>
      </c>
      <c r="E14" t="n">
        <v>1145</v>
      </c>
      <c r="K14" t="inlineStr">
        <is>
          <t>Paper I – Bengali or Nepali: 50 marks, 1 hour (descriptive)
Paper II – English 50Q/50M + Elementary Mathematics 50Q/50M + Survey Engineering 100Q/100M (objective, 2.5 hours combined)</t>
        </is>
      </c>
      <c r="L14" t="inlineStr">
        <is>
          <t>Paper II: 0.25 mark deducted per wrong answer; Paper I qualifying 30% (15/50); final merit based on Paper II only</t>
        </is>
      </c>
      <c r="M14" t="inlineStr">
        <is>
          <t>Paper I: Letter writing, report writing, grammar
English: Vocabulary, grammar, composition, synonyms/antonyms, sentence correction
Mathematics: Arithmetic, algebra, geometry, trigonometry, mensuration (Madhyamik standard)
Survey Engineering: Diploma-level survey content (50% of Paper II weightage)</t>
        </is>
      </c>
      <c r="N14" t="inlineStr">
        <is>
          <t>WBPSC official website: https://psc.wb.gov.in/</t>
        </is>
      </c>
      <c r="P14" t="inlineStr">
        <is>
          <t>No</t>
        </is>
      </c>
    </row>
  </sheetData>
  <autoFilter ref="A1:P4"/>
  <dataValidations count="1">
    <dataValidation sqref="P2:P4" showDropDown="0" showInputMessage="0" showErrorMessage="0" allowBlank="1" type="list">
      <formula1>"No,Writing,Done"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" sqref="A1"/>
    </sheetView>
  </sheetViews>
  <sheetFormatPr baseColWidth="8" defaultColWidth="8.6640625" defaultRowHeight="14.4"/>
  <cols>
    <col width="5" customWidth="1" min="1" max="1"/>
    <col width="36" customWidth="1" min="2" max="2"/>
    <col width="28" customWidth="1" min="3" max="3"/>
    <col width="18" customWidth="1" min="4" max="4"/>
    <col width="10" customWidth="1" min="5" max="5"/>
    <col width="40" customWidth="1" min="6" max="6"/>
    <col width="24" customWidth="1" min="7" max="7"/>
    <col width="30" customWidth="1" min="8" max="8"/>
    <col width="22" customWidth="1" min="9" max="9"/>
    <col width="34" customWidth="1" min="10" max="10"/>
    <col width="44" customWidth="1" min="11" max="11"/>
    <col width="30" customWidth="1" min="12" max="12"/>
    <col width="50" customWidth="1" min="13" max="14"/>
    <col width="40" customWidth="1" min="15" max="15"/>
    <col width="11" customWidth="1" min="16" max="16"/>
  </cols>
  <sheetData>
    <row r="1" ht="33.75" customHeight="1">
      <c r="A1" s="6" t="inlineStr">
        <is>
          <t>#</t>
        </is>
      </c>
      <c r="B1" s="6" t="inlineStr">
        <is>
          <t>Title</t>
        </is>
      </c>
      <c r="C1" s="6" t="inlineStr">
        <is>
          <t>Organisation</t>
        </is>
      </c>
      <c r="D1" s="6" t="inlineStr">
        <is>
          <t>Advt. no.</t>
        </is>
      </c>
      <c r="E1" s="6" t="inlineStr">
        <is>
          <t>Total posts</t>
        </is>
      </c>
      <c r="F1" s="6" t="inlineStr">
        <is>
          <t>Key dates</t>
        </is>
      </c>
      <c r="G1" s="6" t="inlineStr">
        <is>
          <t>Login needed</t>
        </is>
      </c>
      <c r="H1" s="6" t="inlineStr">
        <is>
          <t>Next stages</t>
        </is>
      </c>
      <c r="I1" s="6" t="inlineStr">
        <is>
          <t>Fee</t>
        </is>
      </c>
      <c r="J1" s="6" t="inlineStr">
        <is>
          <t>Eligibility</t>
        </is>
      </c>
      <c r="K1" s="6" t="inlineStr">
        <is>
          <t>Exam pattern</t>
        </is>
      </c>
      <c r="L1" s="6" t="inlineStr">
        <is>
          <t>Marking / notes</t>
        </is>
      </c>
      <c r="M1" s="6" t="inlineStr">
        <is>
          <t>Main topics</t>
        </is>
      </c>
      <c r="N1" s="6" t="inlineStr">
        <is>
          <t>Official links</t>
        </is>
      </c>
      <c r="O1" s="7" t="inlineStr">
        <is>
          <t>YOUR short info (write)</t>
        </is>
      </c>
      <c r="P1" s="6" t="inlineStr">
        <is>
          <t>Written?</t>
        </is>
      </c>
    </row>
    <row r="2" ht="52.8" customHeight="1">
      <c r="A2" s="8" t="n">
        <v>1</v>
      </c>
      <c r="B2" s="9" t="inlineStr">
        <is>
          <t>SSC Junior Engineer (JE) Exam Date 2026</t>
        </is>
      </c>
      <c r="C2" s="8" t="inlineStr">
        <is>
          <t>Staff Selection Commission (SSC)</t>
        </is>
      </c>
      <c r="D2" s="8" t="n"/>
      <c r="E2" s="8" t="n">
        <v>1748</v>
      </c>
      <c r="F2" s="8" t="inlineStr">
        <is>
          <t>Paper 1 (CBT): 02 – 06 November 2026
Paper 2: December 2026 (tentative)
Admit card: A few days before the exam</t>
        </is>
      </c>
      <c r="G2" s="8" t="n"/>
      <c r="H2" s="8" t="n"/>
      <c r="I2" s="8" t="n"/>
      <c r="J2" s="8" t="n"/>
      <c r="K2" s="8" t="n"/>
      <c r="L2" s="8" t="n"/>
      <c r="M2" s="8" t="n"/>
      <c r="N2" s="8" t="inlineStr">
        <is>
          <t>Exam date notice (PDF): https://ssc.gov.in/api/attachment/uploads/masterData/NoticeBoards/Notice_01102026.pdf
SSC candidate login: https://ssc.gov.in/login</t>
        </is>
      </c>
      <c r="O2" s="11" t="n"/>
      <c r="P2" s="8" t="inlineStr">
        <is>
          <t>No</t>
        </is>
      </c>
    </row>
    <row r="3" ht="52.8" customHeight="1">
      <c r="A3" s="8" t="n">
        <v>2</v>
      </c>
      <c r="B3" s="9" t="inlineStr">
        <is>
          <t>CTET December 2026 Exam Date</t>
        </is>
      </c>
      <c r="C3" s="8" t="inlineStr">
        <is>
          <t>CBSE</t>
        </is>
      </c>
      <c r="D3" s="8" t="n"/>
      <c r="E3" s="8" t="n"/>
      <c r="F3" s="8" t="inlineStr">
        <is>
          <t>Exam dates: 12 – 13 December 2026
Admit card: A few days before the exam
Result: To be announced</t>
        </is>
      </c>
      <c r="G3" s="8" t="n"/>
      <c r="H3" s="8" t="n"/>
      <c r="I3" s="8" t="n"/>
      <c r="J3" s="8" t="n"/>
      <c r="K3" s="8" t="n"/>
      <c r="L3" s="8" t="n"/>
      <c r="M3" s="8" t="n"/>
      <c r="N3" s="8" t="inlineStr">
        <is>
          <t>Exam date notice (PDF): https://cdnbbsr.s3waas.gov.in/s3443dec3062d0286986e21dc0631734c9/uploads/2026/09/20260914325514446.pdf
CTET official website: https://ctet.nic.in/</t>
        </is>
      </c>
      <c r="O3" s="11" t="n"/>
      <c r="P3" s="8" t="inlineStr">
        <is>
          <t>No</t>
        </is>
      </c>
    </row>
    <row r="4" ht="52.8" customHeight="1">
      <c r="A4" s="8" t="n">
        <v>3</v>
      </c>
      <c r="B4" s="9" t="inlineStr">
        <is>
          <t>UPSC Combined Geo-Scientist Exam Date 2027</t>
        </is>
      </c>
      <c r="C4" s="8" t="inlineStr">
        <is>
          <t>Union Public Service Commission (UPSC)</t>
        </is>
      </c>
      <c r="D4" s="8" t="n"/>
      <c r="E4" s="8" t="n">
        <v>127</v>
      </c>
      <c r="F4" s="8" t="inlineStr">
        <is>
          <t>Prelims exam: 10 January 2027
Mains exam: 19 – 20 June 2027
Admit card: About 2–3 weeks before each exam</t>
        </is>
      </c>
      <c r="G4" s="8" t="n"/>
      <c r="H4" s="8" t="n"/>
      <c r="I4" s="8" t="n"/>
      <c r="J4" s="8" t="n"/>
      <c r="K4" s="8" t="n"/>
      <c r="L4" s="8" t="n"/>
      <c r="M4" s="8" t="n"/>
      <c r="N4" s="8" t="inlineStr">
        <is>
          <t>Notification (PDF): https://www.upsc.gov.in/sites/default/files/Notif-CGSPE-2027-Engl-020926.pdf
UPSC official website: https://www.upsc.gov.in/</t>
        </is>
      </c>
      <c r="O4" s="11" t="n"/>
      <c r="P4" s="8" t="inlineStr">
        <is>
          <t>No</t>
        </is>
      </c>
    </row>
  </sheetData>
  <autoFilter ref="A1:P4"/>
  <dataValidations count="1">
    <dataValidation sqref="P2:P4" showDropDown="0" showInputMessage="0" showErrorMessage="0" allowBlank="1" type="list">
      <formula1>"No,Writing,Done"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8"/>
  <sheetViews>
    <sheetView zoomScaleNormal="100" workbookViewId="0">
      <pane xSplit="2" ySplit="1" topLeftCell="C173" activePane="bottomRight" state="frozen"/>
      <selection pane="topRight" activeCell="C1" sqref="C1"/>
      <selection pane="bottomLeft" activeCell="A2" sqref="A2"/>
      <selection pane="bottomRight" activeCell="C176" sqref="C176"/>
    </sheetView>
  </sheetViews>
  <sheetFormatPr baseColWidth="8" defaultColWidth="8.6640625" defaultRowHeight="14.4"/>
  <cols>
    <col width="5" customWidth="1" min="1" max="1"/>
    <col width="13" customWidth="1" min="2" max="2"/>
    <col width="58" customWidth="1" min="3" max="3"/>
    <col width="7" customWidth="1" min="4" max="4"/>
    <col width="13" customWidth="1" min="5" max="5"/>
    <col width="62" customWidth="1" min="6" max="6"/>
    <col width="40" customWidth="1" min="7" max="7"/>
    <col width="11" customWidth="1" min="8" max="8"/>
    <col width="30" customWidth="1" min="9" max="9"/>
  </cols>
  <sheetData>
    <row r="1" ht="33.75" customHeight="1">
      <c r="A1" s="6" t="inlineStr">
        <is>
          <t>#</t>
        </is>
      </c>
      <c r="B1" s="6" t="inlineStr">
        <is>
          <t>Section</t>
        </is>
      </c>
      <c r="C1" s="6" t="inlineStr">
        <is>
          <t>Post title</t>
        </is>
      </c>
      <c r="D1" s="6" t="inlineStr">
        <is>
          <t>Year</t>
        </is>
      </c>
      <c r="E1" s="6" t="inlineStr">
        <is>
          <t>Facts probably in this workbook? (auto-match)</t>
        </is>
      </c>
      <c r="F1" s="6" t="n"/>
      <c r="G1" s="7" t="inlineStr">
        <is>
          <t>Official link (fill in)</t>
        </is>
      </c>
      <c r="H1" s="7" t="inlineStr">
        <is>
          <t>Status</t>
        </is>
      </c>
      <c r="I1" s="7" t="inlineStr">
        <is>
          <t>Notes</t>
        </is>
      </c>
    </row>
    <row r="2">
      <c r="A2" s="8" t="n">
        <v>1</v>
      </c>
      <c r="B2" s="8" t="inlineStr">
        <is>
          <t>Result</t>
        </is>
      </c>
      <c r="C2" s="8" t="inlineStr">
        <is>
          <t>Rajasthan RSSB Driver 2024 Result</t>
        </is>
      </c>
      <c r="D2" s="8" t="n">
        <v>2024</v>
      </c>
      <c r="E2" s="8" t="inlineStr">
        <is>
          <t>No</t>
        </is>
      </c>
      <c r="F2" s="12" t="n"/>
      <c r="G2" s="11" t="n"/>
      <c r="H2" s="11" t="inlineStr">
        <is>
          <t>To do</t>
        </is>
      </c>
      <c r="I2" s="11" t="n"/>
    </row>
    <row r="3">
      <c r="A3" s="8" t="n">
        <v>2</v>
      </c>
      <c r="B3" s="8" t="inlineStr">
        <is>
          <t>Result</t>
        </is>
      </c>
      <c r="C3" s="8" t="inlineStr">
        <is>
          <t>SSC CPO SI 2025 PET Result 2026</t>
        </is>
      </c>
      <c r="D3" s="8" t="n">
        <v>2026</v>
      </c>
      <c r="E3" s="8" t="inlineStr">
        <is>
          <t>Yes</t>
        </is>
      </c>
      <c r="F3" s="12" t="n"/>
      <c r="G3" s="11" t="n"/>
      <c r="H3" s="11" t="inlineStr">
        <is>
          <t>To do</t>
        </is>
      </c>
      <c r="I3" s="11" t="n"/>
    </row>
    <row r="4">
      <c r="A4" s="8" t="n">
        <v>3</v>
      </c>
      <c r="B4" s="8" t="inlineStr">
        <is>
          <t>Result</t>
        </is>
      </c>
      <c r="C4" s="8" t="inlineStr">
        <is>
          <t>RPSC TGT Senior Teacher Gr II Result 2026</t>
        </is>
      </c>
      <c r="D4" s="8" t="n">
        <v>2026</v>
      </c>
      <c r="E4" s="8" t="inlineStr">
        <is>
          <t>No</t>
        </is>
      </c>
      <c r="F4" s="12" t="n"/>
      <c r="G4" s="11" t="n"/>
      <c r="H4" s="11" t="inlineStr">
        <is>
          <t>To do</t>
        </is>
      </c>
      <c r="I4" s="11" t="n"/>
    </row>
    <row r="5">
      <c r="A5" s="8" t="n">
        <v>4</v>
      </c>
      <c r="B5" s="8" t="inlineStr">
        <is>
          <t>Result</t>
        </is>
      </c>
      <c r="C5" s="8" t="inlineStr">
        <is>
          <t>UPPSC LT Grade Assistant Teacher 2025 Mains Result</t>
        </is>
      </c>
      <c r="D5" s="8" t="n">
        <v>2025</v>
      </c>
      <c r="E5" s="8" t="inlineStr">
        <is>
          <t>No</t>
        </is>
      </c>
      <c r="F5" s="12" t="n"/>
      <c r="G5" s="11" t="n"/>
      <c r="H5" s="11" t="inlineStr">
        <is>
          <t>To do</t>
        </is>
      </c>
      <c r="I5" s="11" t="n"/>
    </row>
    <row r="6">
      <c r="A6" s="8" t="n">
        <v>5</v>
      </c>
      <c r="B6" s="8" t="inlineStr">
        <is>
          <t>Result</t>
        </is>
      </c>
      <c r="C6" s="8" t="inlineStr">
        <is>
          <t>BPSC Assistant Section Officer ASO 2025 Mains Result</t>
        </is>
      </c>
      <c r="D6" s="8" t="n">
        <v>2025</v>
      </c>
      <c r="E6" s="8" t="inlineStr">
        <is>
          <t>Yes</t>
        </is>
      </c>
      <c r="F6" s="12" t="n"/>
      <c r="G6" s="11" t="n"/>
      <c r="H6" s="11" t="inlineStr">
        <is>
          <t>To do</t>
        </is>
      </c>
      <c r="I6" s="11" t="n"/>
    </row>
    <row r="7">
      <c r="A7" s="8" t="n">
        <v>6</v>
      </c>
      <c r="B7" s="8" t="inlineStr">
        <is>
          <t>Result</t>
        </is>
      </c>
      <c r="C7" s="8" t="inlineStr">
        <is>
          <t>UPSSSC Stenographer 2023 Skill Test Result 2026</t>
        </is>
      </c>
      <c r="D7" s="8" t="n">
        <v>2026</v>
      </c>
      <c r="E7" s="8" t="inlineStr">
        <is>
          <t>No</t>
        </is>
      </c>
      <c r="F7" s="12" t="n"/>
      <c r="G7" s="11" t="n"/>
      <c r="H7" s="11" t="inlineStr">
        <is>
          <t>To do</t>
        </is>
      </c>
      <c r="I7" s="11" t="n"/>
    </row>
    <row r="8">
      <c r="A8" s="8" t="n">
        <v>7</v>
      </c>
      <c r="B8" s="8" t="inlineStr">
        <is>
          <t>Result</t>
        </is>
      </c>
      <c r="C8" s="8" t="inlineStr">
        <is>
          <t>UPSSSC Stenographer 2024 Skill Test Result 2026</t>
        </is>
      </c>
      <c r="D8" s="8" t="n">
        <v>2026</v>
      </c>
      <c r="E8" s="8" t="inlineStr">
        <is>
          <t>No</t>
        </is>
      </c>
      <c r="F8" s="12" t="n"/>
      <c r="G8" s="11" t="n"/>
      <c r="H8" s="11" t="inlineStr">
        <is>
          <t>To do</t>
        </is>
      </c>
      <c r="I8" s="11" t="n"/>
    </row>
    <row r="9">
      <c r="A9" s="8" t="n">
        <v>8</v>
      </c>
      <c r="B9" s="8" t="inlineStr">
        <is>
          <t>Result</t>
        </is>
      </c>
      <c r="C9" s="8" t="inlineStr">
        <is>
          <t>UPSC CDS II Result 2026</t>
        </is>
      </c>
      <c r="D9" s="8" t="n">
        <v>2026</v>
      </c>
      <c r="E9" s="8" t="inlineStr">
        <is>
          <t>No</t>
        </is>
      </c>
      <c r="F9" s="12" t="n"/>
      <c r="G9" s="11" t="n"/>
      <c r="H9" s="11" t="inlineStr">
        <is>
          <t>To do</t>
        </is>
      </c>
      <c r="I9" s="11" t="n"/>
    </row>
    <row r="10">
      <c r="A10" s="8" t="n">
        <v>9</v>
      </c>
      <c r="B10" s="8" t="inlineStr">
        <is>
          <t>Result</t>
        </is>
      </c>
      <c r="C10" s="8" t="inlineStr">
        <is>
          <t>ISRO ICRB Assistant and Other Post Result 2026</t>
        </is>
      </c>
      <c r="D10" s="8" t="n">
        <v>2026</v>
      </c>
      <c r="E10" s="8" t="inlineStr">
        <is>
          <t>No</t>
        </is>
      </c>
      <c r="F10" s="12" t="n"/>
      <c r="G10" s="11" t="n"/>
      <c r="H10" s="11" t="inlineStr">
        <is>
          <t>To do</t>
        </is>
      </c>
      <c r="I10" s="11" t="n"/>
    </row>
    <row r="11">
      <c r="A11" s="8" t="n">
        <v>10</v>
      </c>
      <c r="B11" s="8" t="inlineStr">
        <is>
          <t>Result</t>
        </is>
      </c>
      <c r="C11" s="8" t="inlineStr">
        <is>
          <t>UP Police Home Guard Marks 2026</t>
        </is>
      </c>
      <c r="D11" s="8" t="n">
        <v>2026</v>
      </c>
      <c r="E11" s="8" t="inlineStr">
        <is>
          <t>No</t>
        </is>
      </c>
      <c r="F11" s="12" t="n"/>
      <c r="G11" s="11" t="n"/>
      <c r="H11" s="11" t="inlineStr">
        <is>
          <t>To do</t>
        </is>
      </c>
      <c r="I11" s="11" t="n"/>
    </row>
    <row r="12">
      <c r="A12" s="8" t="n">
        <v>11</v>
      </c>
      <c r="B12" s="8" t="inlineStr">
        <is>
          <t>Result</t>
        </is>
      </c>
      <c r="C12" s="8" t="inlineStr">
        <is>
          <t>Cotton Corporation of India CCI Various Post Result 2026</t>
        </is>
      </c>
      <c r="D12" s="8" t="n">
        <v>2026</v>
      </c>
      <c r="E12" s="8" t="inlineStr">
        <is>
          <t>No</t>
        </is>
      </c>
      <c r="F12" s="12" t="n"/>
      <c r="G12" s="11" t="n"/>
      <c r="H12" s="11" t="inlineStr">
        <is>
          <t>To do</t>
        </is>
      </c>
      <c r="I12" s="11" t="n"/>
    </row>
    <row r="13">
      <c r="A13" s="8" t="n">
        <v>12</v>
      </c>
      <c r="B13" s="8" t="inlineStr">
        <is>
          <t>Result</t>
        </is>
      </c>
      <c r="C13" s="8" t="inlineStr">
        <is>
          <t>SSC GD Constable Revised Result 2026</t>
        </is>
      </c>
      <c r="D13" s="8" t="n">
        <v>2026</v>
      </c>
      <c r="E13" s="8" t="inlineStr">
        <is>
          <t>Yes</t>
        </is>
      </c>
      <c r="F13" s="12" t="n"/>
      <c r="G13" s="11" t="n"/>
      <c r="H13" s="11" t="inlineStr">
        <is>
          <t>To do</t>
        </is>
      </c>
      <c r="I13" s="11" t="n"/>
    </row>
    <row r="14">
      <c r="A14" s="8" t="n">
        <v>13</v>
      </c>
      <c r="B14" s="8" t="inlineStr">
        <is>
          <t>Result</t>
        </is>
      </c>
      <c r="C14" s="8" t="inlineStr">
        <is>
          <t>IBPS SO 16th Pre Score Card 2026</t>
        </is>
      </c>
      <c r="D14" s="8" t="n">
        <v>2026</v>
      </c>
      <c r="E14" s="8" t="inlineStr">
        <is>
          <t>No</t>
        </is>
      </c>
      <c r="F14" s="12" t="n"/>
      <c r="G14" s="11" t="n"/>
      <c r="H14" s="11" t="inlineStr">
        <is>
          <t>To do</t>
        </is>
      </c>
      <c r="I14" s="11" t="n"/>
    </row>
    <row r="15">
      <c r="A15" s="8" t="n">
        <v>14</v>
      </c>
      <c r="B15" s="8" t="inlineStr">
        <is>
          <t>Result</t>
        </is>
      </c>
      <c r="C15" s="8" t="inlineStr">
        <is>
          <t>SBI Junior Associates Clerk Backlog Pre Result 2026</t>
        </is>
      </c>
      <c r="D15" s="8" t="n">
        <v>2026</v>
      </c>
      <c r="E15" s="8" t="inlineStr">
        <is>
          <t>No</t>
        </is>
      </c>
      <c r="F15" s="12" t="n"/>
      <c r="G15" s="11" t="n"/>
      <c r="H15" s="11" t="inlineStr">
        <is>
          <t>To do</t>
        </is>
      </c>
      <c r="I15" s="11" t="n"/>
    </row>
    <row r="16">
      <c r="A16" s="8" t="n">
        <v>15</v>
      </c>
      <c r="B16" s="8" t="inlineStr">
        <is>
          <t>Result</t>
        </is>
      </c>
      <c r="C16" s="8" t="inlineStr">
        <is>
          <t>SBI PO Mains Result 2026</t>
        </is>
      </c>
      <c r="D16" s="8" t="n">
        <v>2026</v>
      </c>
      <c r="E16" s="8" t="inlineStr">
        <is>
          <t>Yes</t>
        </is>
      </c>
      <c r="F16" s="12" t="n"/>
      <c r="G16" s="11" t="n"/>
      <c r="H16" s="11" t="inlineStr">
        <is>
          <t>To do</t>
        </is>
      </c>
      <c r="I16" s="11" t="n"/>
    </row>
    <row r="17">
      <c r="A17" s="8" t="n">
        <v>16</v>
      </c>
      <c r="B17" s="8" t="inlineStr">
        <is>
          <t>Result</t>
        </is>
      </c>
      <c r="C17" s="8" t="inlineStr">
        <is>
          <t>UP Police Constable Final Result 2026</t>
        </is>
      </c>
      <c r="D17" s="8" t="n">
        <v>2026</v>
      </c>
      <c r="E17" s="8" t="inlineStr">
        <is>
          <t>Yes</t>
        </is>
      </c>
      <c r="F17" s="12" t="n"/>
      <c r="G17" s="11" t="n"/>
      <c r="H17" s="11" t="inlineStr">
        <is>
          <t>To do</t>
        </is>
      </c>
      <c r="I17" s="11" t="n"/>
    </row>
    <row r="18">
      <c r="A18" s="8" t="n">
        <v>17</v>
      </c>
      <c r="B18" s="8" t="inlineStr">
        <is>
          <t>Result</t>
        </is>
      </c>
      <c r="C18" s="8" t="inlineStr">
        <is>
          <t>SSB Head Constable Ministerial 2020 Result / Marks 2026</t>
        </is>
      </c>
      <c r="D18" s="8" t="n">
        <v>2026</v>
      </c>
      <c r="E18" s="8" t="inlineStr">
        <is>
          <t>No</t>
        </is>
      </c>
      <c r="F18" s="12" t="n"/>
      <c r="G18" s="11" t="n"/>
      <c r="H18" s="11" t="inlineStr">
        <is>
          <t>To do</t>
        </is>
      </c>
      <c r="I18" s="11" t="n"/>
    </row>
    <row r="19">
      <c r="A19" s="8" t="n">
        <v>18</v>
      </c>
      <c r="B19" s="8" t="inlineStr">
        <is>
          <t>Result</t>
        </is>
      </c>
      <c r="C19" s="8" t="inlineStr">
        <is>
          <t>UPSC NDA II Written Exam Result 2026</t>
        </is>
      </c>
      <c r="D19" s="8" t="n">
        <v>2026</v>
      </c>
      <c r="E19" s="8" t="inlineStr">
        <is>
          <t>No</t>
        </is>
      </c>
      <c r="F19" s="12" t="n"/>
      <c r="G19" s="11" t="n"/>
      <c r="H19" s="11" t="inlineStr">
        <is>
          <t>To do</t>
        </is>
      </c>
      <c r="I19" s="11" t="n"/>
    </row>
    <row r="20">
      <c r="A20" s="8" t="n">
        <v>19</v>
      </c>
      <c r="B20" s="8" t="inlineStr">
        <is>
          <t>Result</t>
        </is>
      </c>
      <c r="C20" s="8" t="inlineStr">
        <is>
          <t>UPSC CAPF AC 2024 Marks 2026</t>
        </is>
      </c>
      <c r="D20" s="8" t="n">
        <v>2026</v>
      </c>
      <c r="E20" s="8" t="inlineStr">
        <is>
          <t>No</t>
        </is>
      </c>
      <c r="F20" s="12" t="n"/>
      <c r="G20" s="11" t="n"/>
      <c r="H20" s="11" t="inlineStr">
        <is>
          <t>To do</t>
        </is>
      </c>
      <c r="I20" s="11" t="n"/>
    </row>
    <row r="21">
      <c r="A21" s="8" t="n">
        <v>20</v>
      </c>
      <c r="B21" s="8" t="inlineStr">
        <is>
          <t>Result</t>
        </is>
      </c>
      <c r="C21" s="8" t="inlineStr">
        <is>
          <t>DSSSB Assistant Teacher Primary Result 2026</t>
        </is>
      </c>
      <c r="D21" s="8" t="n">
        <v>2026</v>
      </c>
      <c r="E21" s="8" t="inlineStr">
        <is>
          <t>Yes</t>
        </is>
      </c>
      <c r="F21" s="12" t="n"/>
      <c r="G21" s="11" t="n"/>
      <c r="H21" s="11" t="inlineStr">
        <is>
          <t>To do</t>
        </is>
      </c>
      <c r="I21" s="11" t="n"/>
    </row>
    <row r="22">
      <c r="A22" s="8" t="n">
        <v>21</v>
      </c>
      <c r="B22" s="8" t="inlineStr">
        <is>
          <t>Result</t>
        </is>
      </c>
      <c r="C22" s="8" t="inlineStr">
        <is>
          <t>UP Board Time Table 2027</t>
        </is>
      </c>
      <c r="D22" s="8" t="n">
        <v>2027</v>
      </c>
      <c r="E22" s="8" t="inlineStr">
        <is>
          <t>No</t>
        </is>
      </c>
      <c r="F22" s="12" t="n"/>
      <c r="G22" s="11" t="n"/>
      <c r="H22" s="11" t="inlineStr">
        <is>
          <t>To do</t>
        </is>
      </c>
      <c r="I22" s="11" t="n"/>
    </row>
    <row r="23">
      <c r="A23" s="8" t="n">
        <v>22</v>
      </c>
      <c r="B23" s="8" t="inlineStr">
        <is>
          <t>Result</t>
        </is>
      </c>
      <c r="C23" s="8" t="inlineStr">
        <is>
          <t>UPSSSC Moharir 2022 Eligibility Result 2026</t>
        </is>
      </c>
      <c r="D23" s="8" t="n">
        <v>2026</v>
      </c>
      <c r="E23" s="8" t="inlineStr">
        <is>
          <t>No</t>
        </is>
      </c>
      <c r="F23" s="12" t="n"/>
      <c r="G23" s="11" t="n"/>
      <c r="H23" s="11" t="inlineStr">
        <is>
          <t>To do</t>
        </is>
      </c>
      <c r="I23" s="11" t="n"/>
    </row>
    <row r="24">
      <c r="A24" s="8" t="n">
        <v>23</v>
      </c>
      <c r="B24" s="8" t="inlineStr">
        <is>
          <t>Result</t>
        </is>
      </c>
      <c r="C24" s="8" t="inlineStr">
        <is>
          <t>UPSSSC Cane Supervisor Eligibility Result 2026</t>
        </is>
      </c>
      <c r="D24" s="8" t="n">
        <v>2026</v>
      </c>
      <c r="E24" s="8" t="inlineStr">
        <is>
          <t>No</t>
        </is>
      </c>
      <c r="F24" s="12" t="n"/>
      <c r="G24" s="11" t="n"/>
      <c r="H24" s="11" t="inlineStr">
        <is>
          <t>To do</t>
        </is>
      </c>
      <c r="I24" s="11" t="n"/>
    </row>
    <row r="25">
      <c r="A25" s="8" t="n">
        <v>24</v>
      </c>
      <c r="B25" s="8" t="inlineStr">
        <is>
          <t>Result</t>
        </is>
      </c>
      <c r="C25" s="8" t="inlineStr">
        <is>
          <t>India Post GDS First Merit List 2026</t>
        </is>
      </c>
      <c r="D25" s="8" t="n">
        <v>2026</v>
      </c>
      <c r="E25" s="8" t="inlineStr">
        <is>
          <t>No</t>
        </is>
      </c>
      <c r="F25" s="12" t="n"/>
      <c r="G25" s="11" t="n"/>
      <c r="H25" s="11" t="inlineStr">
        <is>
          <t>To do</t>
        </is>
      </c>
      <c r="I25" s="11" t="n"/>
    </row>
    <row r="26">
      <c r="A26" s="8" t="n">
        <v>25</v>
      </c>
      <c r="B26" s="8" t="inlineStr">
        <is>
          <t>Result</t>
        </is>
      </c>
      <c r="C26" s="8" t="inlineStr">
        <is>
          <t>AIIMS NORCET 11th Stage II Result 2026</t>
        </is>
      </c>
      <c r="D26" s="8" t="n">
        <v>2026</v>
      </c>
      <c r="E26" s="8" t="inlineStr">
        <is>
          <t>No</t>
        </is>
      </c>
      <c r="F26" s="12" t="n"/>
      <c r="G26" s="11" t="n"/>
      <c r="H26" s="11" t="inlineStr">
        <is>
          <t>To do</t>
        </is>
      </c>
      <c r="I26" s="11" t="n"/>
    </row>
    <row r="27">
      <c r="A27" s="8" t="n">
        <v>26</v>
      </c>
      <c r="B27" s="8" t="inlineStr">
        <is>
          <t>Result</t>
        </is>
      </c>
      <c r="C27" s="8" t="inlineStr">
        <is>
          <t>CSBC Bihar Police Constable Special Branch Final Result 2026</t>
        </is>
      </c>
      <c r="D27" s="8" t="n">
        <v>2026</v>
      </c>
      <c r="E27" s="8" t="inlineStr">
        <is>
          <t>No</t>
        </is>
      </c>
      <c r="F27" s="12" t="n"/>
      <c r="G27" s="11" t="n"/>
      <c r="H27" s="11" t="inlineStr">
        <is>
          <t>To do</t>
        </is>
      </c>
      <c r="I27" s="11" t="n"/>
    </row>
    <row r="28">
      <c r="A28" s="8" t="n">
        <v>27</v>
      </c>
      <c r="B28" s="8" t="inlineStr">
        <is>
          <t>Result</t>
        </is>
      </c>
      <c r="C28" s="8" t="inlineStr">
        <is>
          <t>NICL Assistant Pre Result 2026</t>
        </is>
      </c>
      <c r="D28" s="8" t="n">
        <v>2026</v>
      </c>
      <c r="E28" s="8" t="inlineStr">
        <is>
          <t>Yes</t>
        </is>
      </c>
      <c r="F28" s="12" t="n"/>
      <c r="G28" s="11" t="n"/>
      <c r="H28" s="11" t="inlineStr">
        <is>
          <t>To do</t>
        </is>
      </c>
      <c r="I28" s="11" t="n"/>
    </row>
    <row r="29">
      <c r="A29" s="8" t="n">
        <v>28</v>
      </c>
      <c r="B29" s="8" t="inlineStr">
        <is>
          <t>Result</t>
        </is>
      </c>
      <c r="C29" s="8" t="inlineStr">
        <is>
          <t>RRB Ministerial and Isolated CEN 08/2025 Result</t>
        </is>
      </c>
      <c r="D29" s="8" t="n">
        <v>2025</v>
      </c>
      <c r="E29" s="8" t="inlineStr">
        <is>
          <t>No</t>
        </is>
      </c>
      <c r="F29" s="12" t="n"/>
      <c r="G29" s="11" t="n"/>
      <c r="H29" s="11" t="inlineStr">
        <is>
          <t>To do</t>
        </is>
      </c>
      <c r="I29" s="11" t="n"/>
    </row>
    <row r="30">
      <c r="A30" s="8" t="n">
        <v>29</v>
      </c>
      <c r="B30" s="8" t="inlineStr">
        <is>
          <t>Result</t>
        </is>
      </c>
      <c r="C30" s="8" t="inlineStr">
        <is>
          <t>SSC Stenographer 2025 Marks</t>
        </is>
      </c>
      <c r="D30" s="8" t="n">
        <v>2025</v>
      </c>
      <c r="E30" s="8" t="inlineStr">
        <is>
          <t>Yes</t>
        </is>
      </c>
      <c r="F30" s="12" t="n"/>
      <c r="G30" s="11" t="n"/>
      <c r="H30" s="11" t="inlineStr">
        <is>
          <t>To do</t>
        </is>
      </c>
      <c r="I30" s="11" t="n"/>
    </row>
    <row r="31">
      <c r="A31" s="8" t="n">
        <v>30</v>
      </c>
      <c r="B31" s="8" t="inlineStr">
        <is>
          <t>Result</t>
        </is>
      </c>
      <c r="C31" s="8" t="inlineStr">
        <is>
          <t>SSC CHSL 2025 Final Result</t>
        </is>
      </c>
      <c r="D31" s="8" t="n">
        <v>2025</v>
      </c>
      <c r="E31" s="8" t="inlineStr">
        <is>
          <t>Yes</t>
        </is>
      </c>
      <c r="F31" s="12" t="n"/>
      <c r="G31" s="11" t="n"/>
      <c r="H31" s="11" t="inlineStr">
        <is>
          <t>To do</t>
        </is>
      </c>
      <c r="I31" s="11" t="n"/>
    </row>
    <row r="32">
      <c r="A32" s="8" t="n">
        <v>31</v>
      </c>
      <c r="B32" s="8" t="inlineStr">
        <is>
          <t>Result</t>
        </is>
      </c>
      <c r="C32" s="8" t="inlineStr">
        <is>
          <t>SSC MTS Havaldar 2025 Additional Result</t>
        </is>
      </c>
      <c r="D32" s="8" t="n">
        <v>2025</v>
      </c>
      <c r="E32" s="8" t="inlineStr">
        <is>
          <t>No</t>
        </is>
      </c>
      <c r="F32" s="12" t="n"/>
      <c r="G32" s="11" t="n"/>
      <c r="H32" s="11" t="inlineStr">
        <is>
          <t>To do</t>
        </is>
      </c>
      <c r="I32" s="11" t="n"/>
    </row>
    <row r="33">
      <c r="A33" s="8" t="n">
        <v>32</v>
      </c>
      <c r="B33" s="8" t="inlineStr">
        <is>
          <t>Result</t>
        </is>
      </c>
      <c r="C33" s="8" t="inlineStr">
        <is>
          <t>UPSSSC Forest Guard 2023 PMT Result 2026</t>
        </is>
      </c>
      <c r="D33" s="8" t="n">
        <v>2026</v>
      </c>
      <c r="E33" s="8" t="inlineStr">
        <is>
          <t>No</t>
        </is>
      </c>
      <c r="F33" s="12" t="n"/>
      <c r="G33" s="11" t="n"/>
      <c r="H33" s="11" t="inlineStr">
        <is>
          <t>To do</t>
        </is>
      </c>
      <c r="I33" s="11" t="n"/>
    </row>
    <row r="34">
      <c r="A34" s="8" t="n">
        <v>33</v>
      </c>
      <c r="B34" s="8" t="inlineStr">
        <is>
          <t>Admit Card</t>
        </is>
      </c>
      <c r="C34" s="8" t="inlineStr">
        <is>
          <t>Rajasthan RVUNL Various Post Exam Date 2026</t>
        </is>
      </c>
      <c r="D34" s="8" t="n">
        <v>2026</v>
      </c>
      <c r="E34" s="8" t="inlineStr">
        <is>
          <t>Yes</t>
        </is>
      </c>
      <c r="F34" s="12" t="n"/>
      <c r="G34" s="11" t="n"/>
      <c r="H34" s="11" t="inlineStr">
        <is>
          <t>To do</t>
        </is>
      </c>
      <c r="I34" s="11" t="n"/>
    </row>
    <row r="35">
      <c r="A35" s="8" t="n">
        <v>34</v>
      </c>
      <c r="B35" s="8" t="inlineStr">
        <is>
          <t>Admit Card</t>
        </is>
      </c>
      <c r="C35" s="8" t="inlineStr">
        <is>
          <t>UPSSSC PET Admit Card 2026</t>
        </is>
      </c>
      <c r="D35" s="8" t="n">
        <v>2026</v>
      </c>
      <c r="E35" s="8" t="inlineStr">
        <is>
          <t>Yes</t>
        </is>
      </c>
      <c r="F35" s="12" t="n"/>
      <c r="G35" s="11" t="n"/>
      <c r="H35" s="11" t="inlineStr">
        <is>
          <t>To do</t>
        </is>
      </c>
      <c r="I35" s="11" t="n"/>
    </row>
    <row r="36">
      <c r="A36" s="8" t="n">
        <v>35</v>
      </c>
      <c r="B36" s="8" t="inlineStr">
        <is>
          <t>Admit Card</t>
        </is>
      </c>
      <c r="C36" s="8" t="inlineStr">
        <is>
          <t>Jharkhand JAC JHTET Admit Card 2026</t>
        </is>
      </c>
      <c r="D36" s="8" t="n">
        <v>2026</v>
      </c>
      <c r="E36" s="8" t="inlineStr">
        <is>
          <t>No</t>
        </is>
      </c>
      <c r="F36" s="12" t="n"/>
      <c r="G36" s="11" t="n"/>
      <c r="H36" s="11" t="inlineStr">
        <is>
          <t>To do</t>
        </is>
      </c>
      <c r="I36" s="11" t="n"/>
    </row>
    <row r="37">
      <c r="A37" s="8" t="n">
        <v>36</v>
      </c>
      <c r="B37" s="8" t="inlineStr">
        <is>
          <t>Admit Card</t>
        </is>
      </c>
      <c r="C37" s="8" t="inlineStr">
        <is>
          <t>NVS Class 6th Admit Card 2027</t>
        </is>
      </c>
      <c r="D37" s="8" t="n">
        <v>2027</v>
      </c>
      <c r="E37" s="8" t="inlineStr">
        <is>
          <t>Yes</t>
        </is>
      </c>
      <c r="F37" s="12" t="n"/>
      <c r="G37" s="11" t="n"/>
      <c r="H37" s="11" t="inlineStr">
        <is>
          <t>To do</t>
        </is>
      </c>
      <c r="I37" s="11" t="n"/>
    </row>
    <row r="38">
      <c r="A38" s="8" t="n">
        <v>37</v>
      </c>
      <c r="B38" s="8" t="inlineStr">
        <is>
          <t>Admit Card</t>
        </is>
      </c>
      <c r="C38" s="8" t="inlineStr">
        <is>
          <t>CISF Constable / Fire Exam Date 2026</t>
        </is>
      </c>
      <c r="D38" s="8" t="n">
        <v>2026</v>
      </c>
      <c r="E38" s="8" t="inlineStr">
        <is>
          <t>No</t>
        </is>
      </c>
      <c r="F38" s="12" t="n"/>
      <c r="G38" s="11" t="n"/>
      <c r="H38" s="11" t="inlineStr">
        <is>
          <t>To do</t>
        </is>
      </c>
      <c r="I38" s="11" t="n"/>
    </row>
    <row r="39">
      <c r="A39" s="8" t="n">
        <v>38</v>
      </c>
      <c r="B39" s="8" t="inlineStr">
        <is>
          <t>Admit Card</t>
        </is>
      </c>
      <c r="C39" s="8" t="inlineStr">
        <is>
          <t>SSC JE Paper I Exam City Details 2026</t>
        </is>
      </c>
      <c r="D39" s="8" t="n">
        <v>2026</v>
      </c>
      <c r="E39" s="8" t="inlineStr">
        <is>
          <t>No</t>
        </is>
      </c>
      <c r="F39" s="12" t="n"/>
      <c r="G39" s="11" t="n"/>
      <c r="H39" s="11" t="inlineStr">
        <is>
          <t>To do</t>
        </is>
      </c>
      <c r="I39" s="11" t="n"/>
    </row>
    <row r="40">
      <c r="A40" s="8" t="n">
        <v>39</v>
      </c>
      <c r="B40" s="8" t="inlineStr">
        <is>
          <t>Admit Card</t>
        </is>
      </c>
      <c r="C40" s="8" t="inlineStr">
        <is>
          <t>MPESB MP Police SI Admit Card 2026</t>
        </is>
      </c>
      <c r="D40" s="8" t="n">
        <v>2026</v>
      </c>
      <c r="E40" s="8" t="inlineStr">
        <is>
          <t>Yes</t>
        </is>
      </c>
      <c r="F40" s="12" t="n"/>
      <c r="G40" s="11" t="n"/>
      <c r="H40" s="11" t="inlineStr">
        <is>
          <t>To do</t>
        </is>
      </c>
      <c r="I40" s="11" t="n"/>
    </row>
    <row r="41">
      <c r="A41" s="8" t="n">
        <v>40</v>
      </c>
      <c r="B41" s="8" t="inlineStr">
        <is>
          <t>Admit Card</t>
        </is>
      </c>
      <c r="C41" s="8" t="inlineStr">
        <is>
          <t>Bank of Baroda SO Admit Card 2026</t>
        </is>
      </c>
      <c r="D41" s="8" t="n">
        <v>2026</v>
      </c>
      <c r="E41" s="8" t="inlineStr">
        <is>
          <t>Yes</t>
        </is>
      </c>
      <c r="F41" s="12" t="n"/>
      <c r="G41" s="11" t="n"/>
      <c r="H41" s="11" t="inlineStr">
        <is>
          <t>To do</t>
        </is>
      </c>
      <c r="I41" s="11" t="n"/>
    </row>
    <row r="42">
      <c r="A42" s="8" t="n">
        <v>41</v>
      </c>
      <c r="B42" s="8" t="inlineStr">
        <is>
          <t>Admit Card</t>
        </is>
      </c>
      <c r="C42" s="8" t="inlineStr">
        <is>
          <t>RRB ALP CEN 01/2026 Exam City / Admit Card</t>
        </is>
      </c>
      <c r="D42" s="8" t="n">
        <v>2026</v>
      </c>
      <c r="E42" s="8" t="inlineStr">
        <is>
          <t>No</t>
        </is>
      </c>
      <c r="F42" s="12" t="n"/>
      <c r="G42" s="11" t="n"/>
      <c r="H42" s="11" t="inlineStr">
        <is>
          <t>To do</t>
        </is>
      </c>
      <c r="I42" s="11" t="n"/>
    </row>
    <row r="43">
      <c r="A43" s="8" t="n">
        <v>42</v>
      </c>
      <c r="B43" s="8" t="inlineStr">
        <is>
          <t>Admit Card</t>
        </is>
      </c>
      <c r="C43" s="8" t="inlineStr">
        <is>
          <t>UPPSC Lecturer 2023 Exam City Details</t>
        </is>
      </c>
      <c r="D43" s="8" t="n">
        <v>2023</v>
      </c>
      <c r="E43" s="8" t="inlineStr">
        <is>
          <t>No</t>
        </is>
      </c>
      <c r="F43" s="12" t="n"/>
      <c r="G43" s="11" t="n"/>
      <c r="H43" s="11" t="inlineStr">
        <is>
          <t>To do</t>
        </is>
      </c>
      <c r="I43" s="11" t="n"/>
    </row>
    <row r="44">
      <c r="A44" s="8" t="n">
        <v>43</v>
      </c>
      <c r="B44" s="8" t="inlineStr">
        <is>
          <t>Admit Card</t>
        </is>
      </c>
      <c r="C44" s="8" t="inlineStr">
        <is>
          <t>UPESSC UP Special TET Admit Card 2026</t>
        </is>
      </c>
      <c r="D44" s="8" t="n">
        <v>2026</v>
      </c>
      <c r="E44" s="8" t="inlineStr">
        <is>
          <t>Yes</t>
        </is>
      </c>
      <c r="F44" s="12" t="n"/>
      <c r="G44" s="11" t="n"/>
      <c r="H44" s="11" t="inlineStr">
        <is>
          <t>To do</t>
        </is>
      </c>
      <c r="I44" s="11" t="n"/>
    </row>
    <row r="45">
      <c r="A45" s="8" t="n">
        <v>44</v>
      </c>
      <c r="B45" s="8" t="inlineStr">
        <is>
          <t>Admit Card</t>
        </is>
      </c>
      <c r="C45" s="8" t="inlineStr">
        <is>
          <t>Bihar STET Admit Card 2026</t>
        </is>
      </c>
      <c r="D45" s="8" t="n">
        <v>2026</v>
      </c>
      <c r="E45" s="8" t="inlineStr">
        <is>
          <t>Yes</t>
        </is>
      </c>
      <c r="F45" s="12" t="n"/>
      <c r="G45" s="11" t="n"/>
      <c r="H45" s="11" t="inlineStr">
        <is>
          <t>To do</t>
        </is>
      </c>
      <c r="I45" s="11" t="n"/>
    </row>
    <row r="46">
      <c r="A46" s="8" t="n">
        <v>45</v>
      </c>
      <c r="B46" s="8" t="inlineStr">
        <is>
          <t>Admit Card</t>
        </is>
      </c>
      <c r="C46" s="8" t="inlineStr">
        <is>
          <t>RRB Junior Engineer Admit Card 2026</t>
        </is>
      </c>
      <c r="D46" s="8" t="n">
        <v>2026</v>
      </c>
      <c r="E46" s="8" t="inlineStr">
        <is>
          <t>Yes</t>
        </is>
      </c>
      <c r="F46" s="12" t="n"/>
      <c r="G46" s="11" t="n"/>
      <c r="H46" s="11" t="inlineStr">
        <is>
          <t>To do</t>
        </is>
      </c>
      <c r="I46" s="11" t="n"/>
    </row>
    <row r="47">
      <c r="A47" s="8" t="n">
        <v>46</v>
      </c>
      <c r="B47" s="8" t="inlineStr">
        <is>
          <t>Admit Card</t>
        </is>
      </c>
      <c r="C47" s="8" t="inlineStr">
        <is>
          <t>NICL Assistant Mains Admit Card 2026</t>
        </is>
      </c>
      <c r="D47" s="8" t="n">
        <v>2026</v>
      </c>
      <c r="E47" s="8" t="inlineStr">
        <is>
          <t>No</t>
        </is>
      </c>
      <c r="F47" s="12" t="n"/>
      <c r="G47" s="11" t="n"/>
      <c r="H47" s="11" t="inlineStr">
        <is>
          <t>To do</t>
        </is>
      </c>
      <c r="I47" s="11" t="n"/>
    </row>
    <row r="48">
      <c r="A48" s="8" t="n">
        <v>47</v>
      </c>
      <c r="B48" s="8" t="inlineStr">
        <is>
          <t>Admit Card</t>
        </is>
      </c>
      <c r="C48" s="8" t="inlineStr">
        <is>
          <t>IBPS SO 16th Admit Card 2026</t>
        </is>
      </c>
      <c r="D48" s="8" t="n">
        <v>2026</v>
      </c>
      <c r="E48" s="8" t="inlineStr">
        <is>
          <t>Yes</t>
        </is>
      </c>
      <c r="F48" s="12" t="n"/>
      <c r="G48" s="11" t="n"/>
      <c r="H48" s="11" t="inlineStr">
        <is>
          <t>To do</t>
        </is>
      </c>
      <c r="I48" s="11" t="n"/>
    </row>
    <row r="49">
      <c r="A49" s="8" t="n">
        <v>48</v>
      </c>
      <c r="B49" s="8" t="inlineStr">
        <is>
          <t>Admit Card</t>
        </is>
      </c>
      <c r="C49" s="8" t="inlineStr">
        <is>
          <t>MPPSC ADPO Admit Card 2026</t>
        </is>
      </c>
      <c r="D49" s="8" t="n">
        <v>2026</v>
      </c>
      <c r="E49" s="8" t="inlineStr">
        <is>
          <t>Yes</t>
        </is>
      </c>
      <c r="F49" s="12" t="n"/>
      <c r="G49" s="11" t="n"/>
      <c r="H49" s="11" t="inlineStr">
        <is>
          <t>To do</t>
        </is>
      </c>
      <c r="I49" s="11" t="n"/>
    </row>
    <row r="50">
      <c r="A50" s="8" t="n">
        <v>49</v>
      </c>
      <c r="B50" s="8" t="inlineStr">
        <is>
          <t>Admit Card</t>
        </is>
      </c>
      <c r="C50" s="8" t="inlineStr">
        <is>
          <t>RRB ALP CEN 01/2025 CBAT Exam City Details</t>
        </is>
      </c>
      <c r="D50" s="8" t="n">
        <v>2025</v>
      </c>
      <c r="E50" s="8" t="inlineStr">
        <is>
          <t>No</t>
        </is>
      </c>
      <c r="F50" s="12" t="n"/>
      <c r="G50" s="11" t="n"/>
      <c r="H50" s="11" t="inlineStr">
        <is>
          <t>To do</t>
        </is>
      </c>
      <c r="I50" s="11" t="n"/>
    </row>
    <row r="51">
      <c r="A51" s="8" t="n">
        <v>50</v>
      </c>
      <c r="B51" s="8" t="inlineStr">
        <is>
          <t>Admit Card</t>
        </is>
      </c>
      <c r="C51" s="8" t="inlineStr">
        <is>
          <t>SBI Clerk Backlog Mains Admit Card 2026</t>
        </is>
      </c>
      <c r="D51" s="8" t="n">
        <v>2026</v>
      </c>
      <c r="E51" s="8" t="inlineStr">
        <is>
          <t>No</t>
        </is>
      </c>
      <c r="F51" s="12" t="n"/>
      <c r="G51" s="11" t="n"/>
      <c r="H51" s="11" t="inlineStr">
        <is>
          <t>To do</t>
        </is>
      </c>
      <c r="I51" s="11" t="n"/>
    </row>
    <row r="52">
      <c r="A52" s="8" t="n">
        <v>51</v>
      </c>
      <c r="B52" s="8" t="inlineStr">
        <is>
          <t>Admit Card</t>
        </is>
      </c>
      <c r="C52" s="8" t="inlineStr">
        <is>
          <t>UIIC AO Admit Card 2026</t>
        </is>
      </c>
      <c r="D52" s="8" t="n">
        <v>2026</v>
      </c>
      <c r="E52" s="8" t="inlineStr">
        <is>
          <t>Yes</t>
        </is>
      </c>
      <c r="F52" s="12" t="n"/>
      <c r="G52" s="11" t="n"/>
      <c r="H52" s="11" t="inlineStr">
        <is>
          <t>To do</t>
        </is>
      </c>
      <c r="I52" s="11" t="n"/>
    </row>
    <row r="53">
      <c r="A53" s="8" t="n">
        <v>52</v>
      </c>
      <c r="B53" s="8" t="inlineStr">
        <is>
          <t>Admit Card</t>
        </is>
      </c>
      <c r="C53" s="8" t="inlineStr">
        <is>
          <t>AAI Manager, Junior Executive Admit Card 2026</t>
        </is>
      </c>
      <c r="D53" s="8" t="n">
        <v>2026</v>
      </c>
      <c r="E53" s="8" t="inlineStr">
        <is>
          <t>Yes</t>
        </is>
      </c>
      <c r="F53" s="12" t="n"/>
      <c r="G53" s="11" t="n"/>
      <c r="H53" s="11" t="inlineStr">
        <is>
          <t>To do</t>
        </is>
      </c>
      <c r="I53" s="11" t="n"/>
    </row>
    <row r="54">
      <c r="A54" s="8" t="n">
        <v>53</v>
      </c>
      <c r="B54" s="8" t="inlineStr">
        <is>
          <t>Admit Card</t>
        </is>
      </c>
      <c r="C54" s="8" t="inlineStr">
        <is>
          <t>Rajasthan High Court Stenographer Admit Card 2026</t>
        </is>
      </c>
      <c r="D54" s="8" t="n">
        <v>2026</v>
      </c>
      <c r="E54" s="8" t="inlineStr">
        <is>
          <t>No</t>
        </is>
      </c>
      <c r="F54" s="12" t="n"/>
      <c r="G54" s="11" t="n"/>
      <c r="H54" s="11" t="inlineStr">
        <is>
          <t>To do</t>
        </is>
      </c>
      <c r="I54" s="11" t="n"/>
    </row>
    <row r="55">
      <c r="A55" s="8" t="n">
        <v>54</v>
      </c>
      <c r="B55" s="8" t="inlineStr">
        <is>
          <t>Admit Card</t>
        </is>
      </c>
      <c r="C55" s="8" t="inlineStr">
        <is>
          <t>Delhi High Court HJS Mains Admit Card 2026</t>
        </is>
      </c>
      <c r="D55" s="8" t="n">
        <v>2026</v>
      </c>
      <c r="E55" s="8" t="inlineStr">
        <is>
          <t>No</t>
        </is>
      </c>
      <c r="F55" s="12" t="n"/>
      <c r="G55" s="11" t="n"/>
      <c r="H55" s="11" t="inlineStr">
        <is>
          <t>To do</t>
        </is>
      </c>
      <c r="I55" s="11" t="n"/>
    </row>
    <row r="56">
      <c r="A56" s="8" t="n">
        <v>55</v>
      </c>
      <c r="B56" s="8" t="inlineStr">
        <is>
          <t>Admit Card</t>
        </is>
      </c>
      <c r="C56" s="8" t="inlineStr">
        <is>
          <t>SSC CGL 2026 Tier I Admit Card</t>
        </is>
      </c>
      <c r="D56" s="8" t="n">
        <v>2026</v>
      </c>
      <c r="E56" s="8" t="inlineStr">
        <is>
          <t>Yes</t>
        </is>
      </c>
      <c r="F56" s="12" t="n"/>
      <c r="G56" s="11" t="n"/>
      <c r="H56" s="11" t="inlineStr">
        <is>
          <t>To do</t>
        </is>
      </c>
      <c r="I56" s="11" t="n"/>
    </row>
    <row r="57">
      <c r="A57" s="8" t="n">
        <v>56</v>
      </c>
      <c r="B57" s="8" t="inlineStr">
        <is>
          <t>Admit Card</t>
        </is>
      </c>
      <c r="C57" s="8" t="inlineStr">
        <is>
          <t>BPSC 72 Pre Exam Postponed 2026</t>
        </is>
      </c>
      <c r="D57" s="8" t="n">
        <v>2026</v>
      </c>
      <c r="E57" s="8" t="inlineStr">
        <is>
          <t>No</t>
        </is>
      </c>
      <c r="F57" s="12" t="n"/>
      <c r="G57" s="11" t="n"/>
      <c r="H57" s="11" t="inlineStr">
        <is>
          <t>To do</t>
        </is>
      </c>
      <c r="I57" s="11" t="n"/>
    </row>
    <row r="58">
      <c r="A58" s="8" t="n">
        <v>57</v>
      </c>
      <c r="B58" s="8" t="inlineStr">
        <is>
          <t>Admit Card</t>
        </is>
      </c>
      <c r="C58" s="8" t="inlineStr">
        <is>
          <t>UP Cooperative Bank Various Post Exam Date 2026</t>
        </is>
      </c>
      <c r="D58" s="8" t="n">
        <v>2026</v>
      </c>
      <c r="E58" s="8" t="inlineStr">
        <is>
          <t>Yes</t>
        </is>
      </c>
      <c r="F58" s="12" t="n"/>
      <c r="G58" s="11" t="n"/>
      <c r="H58" s="11" t="inlineStr">
        <is>
          <t>To do</t>
        </is>
      </c>
      <c r="I58" s="11" t="n"/>
    </row>
    <row r="59">
      <c r="A59" s="8" t="n">
        <v>58</v>
      </c>
      <c r="B59" s="8" t="inlineStr">
        <is>
          <t>Admit Card</t>
        </is>
      </c>
      <c r="C59" s="8" t="inlineStr">
        <is>
          <t>RRB Section Controller Admit Card 2026</t>
        </is>
      </c>
      <c r="D59" s="8" t="n">
        <v>2026</v>
      </c>
      <c r="E59" s="8" t="inlineStr">
        <is>
          <t>Yes</t>
        </is>
      </c>
      <c r="F59" s="12" t="n"/>
      <c r="G59" s="11" t="n"/>
      <c r="H59" s="11" t="inlineStr">
        <is>
          <t>To do</t>
        </is>
      </c>
      <c r="I59" s="11" t="n"/>
    </row>
    <row r="60">
      <c r="A60" s="8" t="n">
        <v>59</v>
      </c>
      <c r="B60" s="8" t="inlineStr">
        <is>
          <t>Admit Card</t>
        </is>
      </c>
      <c r="C60" s="8" t="inlineStr">
        <is>
          <t>SKAU Kurukshetra Non Teaching Clerk Admit Card 2026</t>
        </is>
      </c>
      <c r="D60" s="8" t="n">
        <v>2026</v>
      </c>
      <c r="E60" s="8" t="inlineStr">
        <is>
          <t>No</t>
        </is>
      </c>
      <c r="F60" s="12" t="n"/>
      <c r="G60" s="11" t="n"/>
      <c r="H60" s="11" t="inlineStr">
        <is>
          <t>To do</t>
        </is>
      </c>
      <c r="I60" s="11" t="n"/>
    </row>
    <row r="61">
      <c r="A61" s="8" t="n">
        <v>60</v>
      </c>
      <c r="B61" s="8" t="inlineStr">
        <is>
          <t>Admit Card</t>
        </is>
      </c>
      <c r="C61" s="8" t="inlineStr">
        <is>
          <t>RRB Technician CEN 02/2026 Admit Card 2026</t>
        </is>
      </c>
      <c r="D61" s="8" t="n">
        <v>2026</v>
      </c>
      <c r="E61" s="8" t="inlineStr">
        <is>
          <t>No</t>
        </is>
      </c>
      <c r="F61" s="12" t="n"/>
      <c r="G61" s="11" t="n"/>
      <c r="H61" s="11" t="inlineStr">
        <is>
          <t>To do</t>
        </is>
      </c>
      <c r="I61" s="11" t="n"/>
    </row>
    <row r="62">
      <c r="A62" s="8" t="n">
        <v>61</v>
      </c>
      <c r="B62" s="8" t="inlineStr">
        <is>
          <t>Admit Card</t>
        </is>
      </c>
      <c r="C62" s="8" t="inlineStr">
        <is>
          <t>IBPS Clerk 16th Admit Card 2026</t>
        </is>
      </c>
      <c r="D62" s="8" t="n">
        <v>2026</v>
      </c>
      <c r="E62" s="8" t="inlineStr">
        <is>
          <t>No</t>
        </is>
      </c>
      <c r="F62" s="12" t="n"/>
      <c r="G62" s="11" t="n"/>
      <c r="H62" s="11" t="inlineStr">
        <is>
          <t>To do</t>
        </is>
      </c>
      <c r="I62" s="11" t="n"/>
    </row>
    <row r="63">
      <c r="A63" s="8" t="n">
        <v>62</v>
      </c>
      <c r="B63" s="8" t="inlineStr">
        <is>
          <t>Admit Card</t>
        </is>
      </c>
      <c r="C63" s="8" t="inlineStr">
        <is>
          <t>SSC CHSL Tier I Exam Date 2026</t>
        </is>
      </c>
      <c r="D63" s="8" t="n">
        <v>2026</v>
      </c>
      <c r="E63" s="8" t="inlineStr">
        <is>
          <t>Yes</t>
        </is>
      </c>
      <c r="F63" s="12" t="n"/>
      <c r="G63" s="11" t="n"/>
      <c r="H63" s="11" t="inlineStr">
        <is>
          <t>To do</t>
        </is>
      </c>
      <c r="I63" s="11" t="n"/>
    </row>
    <row r="64">
      <c r="A64" s="8" t="n">
        <v>63</v>
      </c>
      <c r="B64" s="8" t="inlineStr">
        <is>
          <t>Admit Card</t>
        </is>
      </c>
      <c r="C64" s="8" t="inlineStr">
        <is>
          <t>SSC CPO SI 2026 Exam Date</t>
        </is>
      </c>
      <c r="D64" s="8" t="n">
        <v>2026</v>
      </c>
      <c r="E64" s="8" t="inlineStr">
        <is>
          <t>Yes</t>
        </is>
      </c>
      <c r="F64" s="12" t="n"/>
      <c r="G64" s="11" t="n"/>
      <c r="H64" s="11" t="inlineStr">
        <is>
          <t>To do</t>
        </is>
      </c>
      <c r="I64" s="11" t="n"/>
    </row>
    <row r="65">
      <c r="A65" s="8" t="n">
        <v>64</v>
      </c>
      <c r="B65" s="8" t="inlineStr">
        <is>
          <t>Latest Jobs</t>
        </is>
      </c>
      <c r="C65" s="8" t="inlineStr">
        <is>
          <t>Dr RMLIMS Lucknow Non Teaching Various Post Online Form 2026</t>
        </is>
      </c>
      <c r="D65" s="8" t="n">
        <v>2026</v>
      </c>
      <c r="E65" s="8" t="inlineStr">
        <is>
          <t>Yes</t>
        </is>
      </c>
      <c r="F65" s="12" t="n"/>
      <c r="G65" s="11" t="n"/>
      <c r="H65" s="11" t="inlineStr">
        <is>
          <t>To do</t>
        </is>
      </c>
      <c r="I65" s="11" t="n"/>
    </row>
    <row r="66">
      <c r="A66" s="8" t="n">
        <v>65</v>
      </c>
      <c r="B66" s="8" t="inlineStr">
        <is>
          <t>Latest Jobs</t>
        </is>
      </c>
      <c r="C66" s="8" t="inlineStr">
        <is>
          <t>ISRO URSC Technician and Driver Online Form 2026</t>
        </is>
      </c>
      <c r="D66" s="8" t="n">
        <v>2026</v>
      </c>
      <c r="E66" s="8" t="inlineStr">
        <is>
          <t>Yes</t>
        </is>
      </c>
      <c r="F66" s="12" t="n"/>
      <c r="G66" s="11" t="n"/>
      <c r="H66" s="11" t="inlineStr">
        <is>
          <t>To do</t>
        </is>
      </c>
      <c r="I66" s="11" t="n"/>
    </row>
    <row r="67">
      <c r="A67" s="8" t="n">
        <v>66</v>
      </c>
      <c r="B67" s="8" t="inlineStr">
        <is>
          <t>Latest Jobs</t>
        </is>
      </c>
      <c r="C67" s="8" t="inlineStr">
        <is>
          <t>MPESB MP Police Constable Driver Online Form 2026</t>
        </is>
      </c>
      <c r="D67" s="8" t="n">
        <v>2026</v>
      </c>
      <c r="E67" s="8" t="inlineStr">
        <is>
          <t>No</t>
        </is>
      </c>
      <c r="F67" s="12" t="n"/>
      <c r="G67" s="11" t="n"/>
      <c r="H67" s="11" t="inlineStr">
        <is>
          <t>To do</t>
        </is>
      </c>
      <c r="I67" s="11" t="n"/>
    </row>
    <row r="68">
      <c r="A68" s="8" t="n">
        <v>67</v>
      </c>
      <c r="B68" s="8" t="inlineStr">
        <is>
          <t>Latest Jobs</t>
        </is>
      </c>
      <c r="C68" s="8" t="inlineStr">
        <is>
          <t>UPESSC UP Primary Teacher (Super TET) Online Form 2026</t>
        </is>
      </c>
      <c r="D68" s="8" t="n">
        <v>2026</v>
      </c>
      <c r="E68" s="8" t="inlineStr">
        <is>
          <t>Yes</t>
        </is>
      </c>
      <c r="F68" s="12" t="n"/>
      <c r="G68" s="11" t="n"/>
      <c r="H68" s="11" t="inlineStr">
        <is>
          <t>To do</t>
        </is>
      </c>
      <c r="I68" s="11" t="n"/>
    </row>
    <row r="69">
      <c r="A69" s="8" t="n">
        <v>68</v>
      </c>
      <c r="B69" s="8" t="inlineStr">
        <is>
          <t>Latest Jobs</t>
        </is>
      </c>
      <c r="C69" s="8" t="inlineStr">
        <is>
          <t>NTA UGC NET JRF December 2026 Online Form</t>
        </is>
      </c>
      <c r="D69" s="8" t="n">
        <v>2026</v>
      </c>
      <c r="E69" s="8" t="inlineStr">
        <is>
          <t>Yes</t>
        </is>
      </c>
      <c r="F69" s="12" t="n"/>
      <c r="G69" s="11" t="n"/>
      <c r="H69" s="11" t="inlineStr">
        <is>
          <t>To do</t>
        </is>
      </c>
      <c r="I69" s="11" t="n"/>
    </row>
    <row r="70">
      <c r="A70" s="8" t="n">
        <v>69</v>
      </c>
      <c r="B70" s="8" t="inlineStr">
        <is>
          <t>Latest Jobs</t>
        </is>
      </c>
      <c r="C70" s="8" t="inlineStr">
        <is>
          <t>DSSSB Delhi District Courts Various Post Online Form 2026</t>
        </is>
      </c>
      <c r="D70" s="8" t="n">
        <v>2026</v>
      </c>
      <c r="E70" s="8" t="inlineStr">
        <is>
          <t>Yes</t>
        </is>
      </c>
      <c r="F70" s="12" t="n"/>
      <c r="G70" s="11" t="n"/>
      <c r="H70" s="11" t="inlineStr">
        <is>
          <t>To do</t>
        </is>
      </c>
      <c r="I70" s="11" t="n"/>
    </row>
    <row r="71">
      <c r="A71" s="8" t="n">
        <v>70</v>
      </c>
      <c r="B71" s="8" t="inlineStr">
        <is>
          <t>Latest Jobs</t>
        </is>
      </c>
      <c r="C71" s="8" t="inlineStr">
        <is>
          <t>RRB NTPC Graduate Level Online Form 2026 (CEN 06/2026)</t>
        </is>
      </c>
      <c r="D71" s="8" t="n">
        <v>2026</v>
      </c>
      <c r="E71" s="8" t="inlineStr">
        <is>
          <t>Yes</t>
        </is>
      </c>
      <c r="F71" s="12" t="n"/>
      <c r="G71" s="11" t="n"/>
      <c r="H71" s="11" t="inlineStr">
        <is>
          <t>To do</t>
        </is>
      </c>
      <c r="I71" s="11" t="n"/>
    </row>
    <row r="72">
      <c r="A72" s="8" t="n">
        <v>71</v>
      </c>
      <c r="B72" s="8" t="inlineStr">
        <is>
          <t>Latest Jobs</t>
        </is>
      </c>
      <c r="C72" s="8" t="inlineStr">
        <is>
          <t>RRB NTPC 10+2 Under Graduate Online Form 2026</t>
        </is>
      </c>
      <c r="D72" s="8" t="n">
        <v>2026</v>
      </c>
      <c r="E72" s="8" t="inlineStr">
        <is>
          <t>Yes</t>
        </is>
      </c>
      <c r="F72" s="12" t="n"/>
      <c r="G72" s="11" t="n"/>
      <c r="H72" s="11" t="inlineStr">
        <is>
          <t>To do</t>
        </is>
      </c>
      <c r="I72" s="11" t="n"/>
    </row>
    <row r="73">
      <c r="A73" s="8" t="n">
        <v>72</v>
      </c>
      <c r="B73" s="8" t="inlineStr">
        <is>
          <t>Latest Jobs</t>
        </is>
      </c>
      <c r="C73" s="8" t="inlineStr">
        <is>
          <t>UPESSC UP TGT Online Form 2026</t>
        </is>
      </c>
      <c r="D73" s="8" t="n">
        <v>2026</v>
      </c>
      <c r="E73" s="8" t="inlineStr">
        <is>
          <t>Yes</t>
        </is>
      </c>
      <c r="F73" s="12" t="n"/>
      <c r="G73" s="11" t="n"/>
      <c r="H73" s="11" t="inlineStr">
        <is>
          <t>To do</t>
        </is>
      </c>
      <c r="I73" s="11" t="n"/>
    </row>
    <row r="74">
      <c r="A74" s="8" t="n">
        <v>73</v>
      </c>
      <c r="B74" s="8" t="inlineStr">
        <is>
          <t>Latest Jobs</t>
        </is>
      </c>
      <c r="C74" s="8" t="inlineStr">
        <is>
          <t>Bihar School Librarian Eligibility Test SLET Online Form 2026</t>
        </is>
      </c>
      <c r="D74" s="8" t="n">
        <v>2026</v>
      </c>
      <c r="E74" s="8" t="inlineStr">
        <is>
          <t>No</t>
        </is>
      </c>
      <c r="F74" s="12" t="n"/>
      <c r="G74" s="11" t="n"/>
      <c r="H74" s="11" t="inlineStr">
        <is>
          <t>To do</t>
        </is>
      </c>
      <c r="I74" s="11" t="n"/>
    </row>
    <row r="75">
      <c r="A75" s="8" t="n">
        <v>74</v>
      </c>
      <c r="B75" s="8" t="inlineStr">
        <is>
          <t>Latest Jobs</t>
        </is>
      </c>
      <c r="C75" s="8" t="inlineStr">
        <is>
          <t>UPPSC RO / ARO Online Form 2026</t>
        </is>
      </c>
      <c r="D75" s="8" t="n">
        <v>2026</v>
      </c>
      <c r="E75" s="8" t="inlineStr">
        <is>
          <t>Yes</t>
        </is>
      </c>
      <c r="F75" s="12" t="n"/>
      <c r="G75" s="11" t="n"/>
      <c r="H75" s="11" t="inlineStr">
        <is>
          <t>To do</t>
        </is>
      </c>
      <c r="I75" s="11" t="n"/>
    </row>
    <row r="76">
      <c r="A76" s="8" t="n">
        <v>75</v>
      </c>
      <c r="B76" s="8" t="inlineStr">
        <is>
          <t>Latest Jobs</t>
        </is>
      </c>
      <c r="C76" s="8" t="inlineStr">
        <is>
          <t>Bihar BPSC School Teacher TRE 4 Online Form 2026</t>
        </is>
      </c>
      <c r="D76" s="8" t="n">
        <v>2026</v>
      </c>
      <c r="E76" s="8" t="inlineStr">
        <is>
          <t>Yes</t>
        </is>
      </c>
      <c r="F76" s="12" t="n"/>
      <c r="G76" s="11" t="n"/>
      <c r="H76" s="11" t="inlineStr">
        <is>
          <t>To do</t>
        </is>
      </c>
      <c r="I76" s="11" t="n"/>
    </row>
    <row r="77">
      <c r="A77" s="8" t="n">
        <v>76</v>
      </c>
      <c r="B77" s="8" t="inlineStr">
        <is>
          <t>Latest Jobs</t>
        </is>
      </c>
      <c r="C77" s="8" t="inlineStr">
        <is>
          <t>RRB Station Master Online Form 2026</t>
        </is>
      </c>
      <c r="D77" s="8" t="n">
        <v>2026</v>
      </c>
      <c r="E77" s="8" t="inlineStr">
        <is>
          <t>Yes</t>
        </is>
      </c>
      <c r="F77" s="12" t="n"/>
      <c r="G77" s="11" t="n"/>
      <c r="H77" s="11" t="inlineStr">
        <is>
          <t>To do</t>
        </is>
      </c>
      <c r="I77" s="11" t="n"/>
    </row>
    <row r="78">
      <c r="A78" s="8" t="n">
        <v>77</v>
      </c>
      <c r="B78" s="8" t="inlineStr">
        <is>
          <t>Latest Jobs</t>
        </is>
      </c>
      <c r="C78" s="8" t="inlineStr">
        <is>
          <t>UPESSC UP Headmaster Online Form 2026</t>
        </is>
      </c>
      <c r="D78" s="8" t="n">
        <v>2026</v>
      </c>
      <c r="E78" s="8" t="inlineStr">
        <is>
          <t>Yes</t>
        </is>
      </c>
      <c r="F78" s="12" t="n"/>
      <c r="G78" s="11" t="n"/>
      <c r="H78" s="11" t="inlineStr">
        <is>
          <t>To do</t>
        </is>
      </c>
      <c r="I78" s="11" t="n"/>
    </row>
    <row r="79">
      <c r="A79" s="8" t="n">
        <v>78</v>
      </c>
      <c r="B79" s="8" t="inlineStr">
        <is>
          <t>Latest Jobs</t>
        </is>
      </c>
      <c r="C79" s="8" t="inlineStr">
        <is>
          <t>LIC HFL Apprentice Online Form 2026</t>
        </is>
      </c>
      <c r="D79" s="8" t="n">
        <v>2026</v>
      </c>
      <c r="E79" s="8" t="inlineStr">
        <is>
          <t>Yes</t>
        </is>
      </c>
      <c r="F79" s="12" t="n"/>
      <c r="G79" s="11" t="n"/>
      <c r="H79" s="11" t="inlineStr">
        <is>
          <t>To do</t>
        </is>
      </c>
      <c r="I79" s="11" t="n"/>
    </row>
    <row r="80">
      <c r="A80" s="8" t="n">
        <v>79</v>
      </c>
      <c r="B80" s="8" t="inlineStr">
        <is>
          <t>Latest Jobs</t>
        </is>
      </c>
      <c r="C80" s="8" t="inlineStr">
        <is>
          <t>UPESSC UP Principal Inter Level Online Form 2026</t>
        </is>
      </c>
      <c r="D80" s="8" t="n">
        <v>2026</v>
      </c>
      <c r="E80" s="8" t="inlineStr">
        <is>
          <t>Yes</t>
        </is>
      </c>
      <c r="F80" s="12" t="n"/>
      <c r="G80" s="11" t="n"/>
      <c r="H80" s="11" t="inlineStr">
        <is>
          <t>To do</t>
        </is>
      </c>
      <c r="I80" s="11" t="n"/>
    </row>
    <row r="81">
      <c r="A81" s="8" t="n">
        <v>80</v>
      </c>
      <c r="B81" s="8" t="inlineStr">
        <is>
          <t>Latest Jobs</t>
        </is>
      </c>
      <c r="C81" s="8" t="inlineStr">
        <is>
          <t>NWR RRC Jaipur Apprentices Online Form 2026</t>
        </is>
      </c>
      <c r="D81" s="8" t="n">
        <v>2026</v>
      </c>
      <c r="E81" s="8" t="inlineStr">
        <is>
          <t>Yes</t>
        </is>
      </c>
      <c r="F81" s="12" t="n"/>
      <c r="G81" s="11" t="n"/>
      <c r="H81" s="11" t="inlineStr">
        <is>
          <t>To do</t>
        </is>
      </c>
      <c r="I81" s="11" t="n"/>
    </row>
    <row r="82">
      <c r="A82" s="8" t="n">
        <v>81</v>
      </c>
      <c r="B82" s="8" t="inlineStr">
        <is>
          <t>Latest Jobs</t>
        </is>
      </c>
      <c r="C82" s="8" t="inlineStr">
        <is>
          <t>BHEL Artisan Various Trade Online Form 2026</t>
        </is>
      </c>
      <c r="D82" s="8" t="n">
        <v>2026</v>
      </c>
      <c r="E82" s="8" t="inlineStr">
        <is>
          <t>Yes</t>
        </is>
      </c>
      <c r="F82" s="12" t="n"/>
      <c r="G82" s="11" t="n"/>
      <c r="H82" s="11" t="inlineStr">
        <is>
          <t>To do</t>
        </is>
      </c>
      <c r="I82" s="11" t="n"/>
    </row>
    <row r="83">
      <c r="A83" s="8" t="n">
        <v>82</v>
      </c>
      <c r="B83" s="8" t="inlineStr">
        <is>
          <t>Latest Jobs</t>
        </is>
      </c>
      <c r="C83" s="8" t="inlineStr">
        <is>
          <t>UPSSSC Physical Instructor &amp; Other Post Online Form 2026</t>
        </is>
      </c>
      <c r="D83" s="8" t="n">
        <v>2026</v>
      </c>
      <c r="E83" s="8" t="inlineStr">
        <is>
          <t>No</t>
        </is>
      </c>
      <c r="F83" s="12" t="n"/>
      <c r="G83" s="11" t="n"/>
      <c r="H83" s="11" t="inlineStr">
        <is>
          <t>To do</t>
        </is>
      </c>
      <c r="I83" s="11" t="n"/>
    </row>
    <row r="84">
      <c r="A84" s="8" t="n">
        <v>83</v>
      </c>
      <c r="B84" s="8" t="inlineStr">
        <is>
          <t>Latest Jobs</t>
        </is>
      </c>
      <c r="C84" s="8" t="inlineStr">
        <is>
          <t>Supreme Court of India Court Master Online Form 2026</t>
        </is>
      </c>
      <c r="D84" s="8" t="n">
        <v>2026</v>
      </c>
      <c r="E84" s="8" t="inlineStr">
        <is>
          <t>Yes</t>
        </is>
      </c>
      <c r="F84" s="12" t="n"/>
      <c r="G84" s="11" t="n"/>
      <c r="H84" s="11" t="inlineStr">
        <is>
          <t>To do</t>
        </is>
      </c>
      <c r="I84" s="11" t="n"/>
    </row>
    <row r="85">
      <c r="A85" s="8" t="n">
        <v>84</v>
      </c>
      <c r="B85" s="8" t="inlineStr">
        <is>
          <t>Latest Jobs</t>
        </is>
      </c>
      <c r="C85" s="8" t="inlineStr">
        <is>
          <t>ICSIL Data Entry Operator Online Form 2026</t>
        </is>
      </c>
      <c r="D85" s="8" t="n">
        <v>2026</v>
      </c>
      <c r="E85" s="8" t="inlineStr">
        <is>
          <t>No</t>
        </is>
      </c>
      <c r="F85" s="12" t="n"/>
      <c r="G85" s="11" t="n"/>
      <c r="H85" s="11" t="inlineStr">
        <is>
          <t>To do</t>
        </is>
      </c>
      <c r="I85" s="11" t="n"/>
    </row>
    <row r="86">
      <c r="A86" s="8" t="n">
        <v>85</v>
      </c>
      <c r="B86" s="8" t="inlineStr">
        <is>
          <t>Latest Jobs</t>
        </is>
      </c>
      <c r="C86" s="8" t="inlineStr">
        <is>
          <t>CWC Assistant Manager and Junior Executive Online Form 2026</t>
        </is>
      </c>
      <c r="D86" s="8" t="n">
        <v>2026</v>
      </c>
      <c r="E86" s="8" t="inlineStr">
        <is>
          <t>Yes</t>
        </is>
      </c>
      <c r="F86" s="12" t="n"/>
      <c r="G86" s="11" t="n"/>
      <c r="H86" s="11" t="inlineStr">
        <is>
          <t>To do</t>
        </is>
      </c>
      <c r="I86" s="11" t="n"/>
    </row>
    <row r="87">
      <c r="A87" s="8" t="n">
        <v>86</v>
      </c>
      <c r="B87" s="8" t="inlineStr">
        <is>
          <t>Latest Jobs</t>
        </is>
      </c>
      <c r="C87" s="8" t="inlineStr">
        <is>
          <t>UPSSSC 10+2 Inter Level Various Post Online Form 2026</t>
        </is>
      </c>
      <c r="D87" s="8" t="n">
        <v>2026</v>
      </c>
      <c r="E87" s="8" t="inlineStr">
        <is>
          <t>Yes</t>
        </is>
      </c>
      <c r="F87" s="12" t="n"/>
      <c r="G87" s="11" t="n"/>
      <c r="H87" s="11" t="inlineStr">
        <is>
          <t>To do</t>
        </is>
      </c>
      <c r="I87" s="11" t="n"/>
    </row>
    <row r="88">
      <c r="A88" s="8" t="n">
        <v>87</v>
      </c>
      <c r="B88" s="8" t="inlineStr">
        <is>
          <t>Latest Jobs</t>
        </is>
      </c>
      <c r="C88" s="8" t="inlineStr">
        <is>
          <t>Supreme Court of India Junior Court Attendant Online Form 2026</t>
        </is>
      </c>
      <c r="D88" s="8" t="n">
        <v>2026</v>
      </c>
      <c r="E88" s="8" t="inlineStr">
        <is>
          <t>Yes</t>
        </is>
      </c>
      <c r="F88" s="12" t="n"/>
      <c r="G88" s="11" t="n"/>
      <c r="H88" s="11" t="inlineStr">
        <is>
          <t>To do</t>
        </is>
      </c>
      <c r="I88" s="11" t="n"/>
    </row>
    <row r="89">
      <c r="A89" s="8" t="n">
        <v>88</v>
      </c>
      <c r="B89" s="8" t="inlineStr">
        <is>
          <t>Latest Jobs</t>
        </is>
      </c>
      <c r="C89" s="8" t="inlineStr">
        <is>
          <t>Army 10+2 TES 57th Online Form 2026</t>
        </is>
      </c>
      <c r="D89" s="8" t="n">
        <v>2026</v>
      </c>
      <c r="E89" s="8" t="inlineStr">
        <is>
          <t>Yes</t>
        </is>
      </c>
      <c r="F89" s="12" t="n"/>
      <c r="G89" s="11" t="n"/>
      <c r="H89" s="11" t="inlineStr">
        <is>
          <t>To do</t>
        </is>
      </c>
      <c r="I89" s="11" t="n"/>
    </row>
    <row r="90">
      <c r="A90" s="8" t="n">
        <v>89</v>
      </c>
      <c r="B90" s="8" t="inlineStr">
        <is>
          <t>Latest Jobs</t>
        </is>
      </c>
      <c r="C90" s="8" t="inlineStr">
        <is>
          <t>UP Anganwadi Worker Bharti Online Form 2026</t>
        </is>
      </c>
      <c r="D90" s="8" t="n">
        <v>2026</v>
      </c>
      <c r="E90" s="8" t="inlineStr">
        <is>
          <t>No</t>
        </is>
      </c>
      <c r="F90" s="12" t="n"/>
      <c r="G90" s="11" t="n"/>
      <c r="H90" s="11" t="inlineStr">
        <is>
          <t>To do</t>
        </is>
      </c>
      <c r="I90" s="11" t="n"/>
    </row>
    <row r="91">
      <c r="A91" s="8" t="n">
        <v>90</v>
      </c>
      <c r="B91" s="8" t="inlineStr">
        <is>
          <t>Latest Jobs</t>
        </is>
      </c>
      <c r="C91" s="8" t="inlineStr">
        <is>
          <t>Supreme Court of India Senior Personal Assistant Online Form 2026</t>
        </is>
      </c>
      <c r="D91" s="8" t="n">
        <v>2026</v>
      </c>
      <c r="E91" s="8" t="inlineStr">
        <is>
          <t>No</t>
        </is>
      </c>
      <c r="F91" s="12" t="n"/>
      <c r="G91" s="11" t="n"/>
      <c r="H91" s="11" t="inlineStr">
        <is>
          <t>To do</t>
        </is>
      </c>
      <c r="I91" s="11" t="n"/>
    </row>
    <row r="92" ht="26.4" customHeight="1">
      <c r="A92" s="8" t="n">
        <v>91</v>
      </c>
      <c r="B92" s="8" t="inlineStr">
        <is>
          <t>Latest Jobs</t>
        </is>
      </c>
      <c r="C92" s="8" t="inlineStr">
        <is>
          <t>Delhi DSSSB Sweeper, Safai Karamchari, Chowkidar Online Form 2026</t>
        </is>
      </c>
      <c r="D92" s="8" t="n">
        <v>2026</v>
      </c>
      <c r="E92" s="8" t="inlineStr">
        <is>
          <t>No</t>
        </is>
      </c>
      <c r="F92" s="12" t="n"/>
      <c r="G92" s="11" t="n"/>
      <c r="H92" s="11" t="inlineStr">
        <is>
          <t>To do</t>
        </is>
      </c>
      <c r="I92" s="11" t="n"/>
    </row>
    <row r="93">
      <c r="A93" s="8" t="n">
        <v>92</v>
      </c>
      <c r="B93" s="8" t="inlineStr">
        <is>
          <t>Latest Jobs</t>
        </is>
      </c>
      <c r="C93" s="8" t="inlineStr">
        <is>
          <t>UPSSSC Combined JE (Electrical) Online Form 2026</t>
        </is>
      </c>
      <c r="D93" s="8" t="n">
        <v>2026</v>
      </c>
      <c r="E93" s="8" t="inlineStr">
        <is>
          <t>No</t>
        </is>
      </c>
      <c r="F93" s="12" t="n"/>
      <c r="G93" s="11" t="n"/>
      <c r="H93" s="11" t="inlineStr">
        <is>
          <t>To do</t>
        </is>
      </c>
      <c r="I93" s="11" t="n"/>
    </row>
    <row r="94">
      <c r="A94" s="8" t="n">
        <v>93</v>
      </c>
      <c r="B94" s="8" t="inlineStr">
        <is>
          <t>Latest Jobs</t>
        </is>
      </c>
      <c r="C94" s="8" t="inlineStr">
        <is>
          <t>UPSSSC Combined JE (Mechanical) Online Form 2026</t>
        </is>
      </c>
      <c r="D94" s="8" t="n">
        <v>2026</v>
      </c>
      <c r="E94" s="8" t="inlineStr">
        <is>
          <t>No</t>
        </is>
      </c>
      <c r="F94" s="12" t="n"/>
      <c r="G94" s="11" t="n"/>
      <c r="H94" s="11" t="inlineStr">
        <is>
          <t>To do</t>
        </is>
      </c>
      <c r="I94" s="11" t="n"/>
    </row>
    <row r="95">
      <c r="A95" s="8" t="n">
        <v>94</v>
      </c>
      <c r="B95" s="8" t="inlineStr">
        <is>
          <t>Latest Jobs</t>
        </is>
      </c>
      <c r="C95" s="8" t="inlineStr">
        <is>
          <t>NTA CSIR UGC NET December 2026 Online Form</t>
        </is>
      </c>
      <c r="D95" s="8" t="n">
        <v>2026</v>
      </c>
      <c r="E95" s="8" t="inlineStr">
        <is>
          <t>Yes</t>
        </is>
      </c>
      <c r="F95" s="12" t="n"/>
      <c r="G95" s="11" t="n"/>
      <c r="H95" s="11" t="inlineStr">
        <is>
          <t>To do</t>
        </is>
      </c>
      <c r="I95" s="11" t="n"/>
    </row>
    <row r="96">
      <c r="A96" s="8" t="n">
        <v>95</v>
      </c>
      <c r="B96" s="8" t="inlineStr">
        <is>
          <t>Latest Jobs</t>
        </is>
      </c>
      <c r="C96" s="8" t="inlineStr">
        <is>
          <t>Army TGC 145 Online Form 2026</t>
        </is>
      </c>
      <c r="D96" s="8" t="n">
        <v>2026</v>
      </c>
      <c r="E96" s="8" t="inlineStr">
        <is>
          <t>Yes</t>
        </is>
      </c>
      <c r="F96" s="12" t="n"/>
      <c r="G96" s="11" t="n"/>
      <c r="H96" s="11" t="inlineStr">
        <is>
          <t>To do</t>
        </is>
      </c>
      <c r="I96" s="11" t="n"/>
    </row>
    <row r="97">
      <c r="A97" s="8" t="n">
        <v>96</v>
      </c>
      <c r="B97" s="8" t="inlineStr">
        <is>
          <t>Answer Key</t>
        </is>
      </c>
      <c r="C97" s="8" t="inlineStr">
        <is>
          <t>ISRO ICRB Scientist Engineer Revised Answer Key 2026</t>
        </is>
      </c>
      <c r="D97" s="8" t="n">
        <v>2026</v>
      </c>
      <c r="E97" s="8" t="inlineStr">
        <is>
          <t>No</t>
        </is>
      </c>
      <c r="F97" s="12" t="n"/>
      <c r="G97" s="11" t="n"/>
      <c r="H97" s="11" t="inlineStr">
        <is>
          <t>To do</t>
        </is>
      </c>
      <c r="I97" s="11" t="n"/>
    </row>
    <row r="98">
      <c r="A98" s="8" t="n">
        <v>97</v>
      </c>
      <c r="B98" s="8" t="inlineStr">
        <is>
          <t>Answer Key</t>
        </is>
      </c>
      <c r="C98" s="8" t="inlineStr">
        <is>
          <t>RRB Section Controller Answer Key 2026</t>
        </is>
      </c>
      <c r="D98" s="8" t="n">
        <v>2026</v>
      </c>
      <c r="E98" s="8" t="inlineStr">
        <is>
          <t>Yes</t>
        </is>
      </c>
      <c r="F98" s="12" t="n"/>
      <c r="G98" s="11" t="n"/>
      <c r="H98" s="11" t="inlineStr">
        <is>
          <t>To do</t>
        </is>
      </c>
      <c r="I98" s="11" t="n"/>
    </row>
    <row r="99">
      <c r="A99" s="8" t="n">
        <v>98</v>
      </c>
      <c r="B99" s="8" t="inlineStr">
        <is>
          <t>Answer Key</t>
        </is>
      </c>
      <c r="C99" s="8" t="inlineStr">
        <is>
          <t>RRB Technician CEN 02/2026 Answer Key 2026</t>
        </is>
      </c>
      <c r="D99" s="8" t="n">
        <v>2026</v>
      </c>
      <c r="E99" s="8" t="inlineStr">
        <is>
          <t>Yes</t>
        </is>
      </c>
      <c r="F99" s="12" t="n"/>
      <c r="G99" s="11" t="n"/>
      <c r="H99" s="11" t="inlineStr">
        <is>
          <t>To do</t>
        </is>
      </c>
      <c r="I99" s="11" t="n"/>
    </row>
    <row r="100">
      <c r="A100" s="8" t="n">
        <v>99</v>
      </c>
      <c r="B100" s="8" t="inlineStr">
        <is>
          <t>Answer Key</t>
        </is>
      </c>
      <c r="C100" s="8" t="inlineStr">
        <is>
          <t>SSC Selection Post 14th Answer Key 2026</t>
        </is>
      </c>
      <c r="D100" s="8" t="n">
        <v>2026</v>
      </c>
      <c r="E100" s="8" t="inlineStr">
        <is>
          <t>Yes</t>
        </is>
      </c>
      <c r="F100" s="12" t="n"/>
      <c r="G100" s="11" t="n"/>
      <c r="H100" s="11" t="inlineStr">
        <is>
          <t>To do</t>
        </is>
      </c>
      <c r="I100" s="11" t="n"/>
    </row>
    <row r="101">
      <c r="A101" s="8" t="n">
        <v>100</v>
      </c>
      <c r="B101" s="8" t="inlineStr">
        <is>
          <t>Answer Key</t>
        </is>
      </c>
      <c r="C101" s="8" t="inlineStr">
        <is>
          <t>MPESB Group 2 Sub Group 4 Patwari Answer Key 2026</t>
        </is>
      </c>
      <c r="D101" s="8" t="n">
        <v>2026</v>
      </c>
      <c r="E101" s="8" t="inlineStr">
        <is>
          <t>No</t>
        </is>
      </c>
      <c r="F101" s="12" t="n"/>
      <c r="G101" s="11" t="n"/>
      <c r="H101" s="11" t="inlineStr">
        <is>
          <t>To do</t>
        </is>
      </c>
      <c r="I101" s="11" t="n"/>
    </row>
    <row r="102">
      <c r="A102" s="8" t="n">
        <v>101</v>
      </c>
      <c r="B102" s="8" t="inlineStr">
        <is>
          <t>Answer Key</t>
        </is>
      </c>
      <c r="C102" s="8" t="inlineStr">
        <is>
          <t>Rajasthan SET Answer Key 2026</t>
        </is>
      </c>
      <c r="D102" s="8" t="n">
        <v>2026</v>
      </c>
      <c r="E102" s="8" t="inlineStr">
        <is>
          <t>Yes</t>
        </is>
      </c>
      <c r="F102" s="12" t="n"/>
      <c r="G102" s="11" t="n"/>
      <c r="H102" s="11" t="inlineStr">
        <is>
          <t>To do</t>
        </is>
      </c>
      <c r="I102" s="11" t="n"/>
    </row>
    <row r="103">
      <c r="A103" s="8" t="n">
        <v>102</v>
      </c>
      <c r="B103" s="8" t="inlineStr">
        <is>
          <t>Answer Key</t>
        </is>
      </c>
      <c r="C103" s="8" t="inlineStr">
        <is>
          <t>Uttarakhand UTET Answer Key 2026</t>
        </is>
      </c>
      <c r="D103" s="8" t="n">
        <v>2026</v>
      </c>
      <c r="E103" s="8" t="inlineStr">
        <is>
          <t>Yes</t>
        </is>
      </c>
      <c r="F103" s="12" t="n"/>
      <c r="G103" s="11" t="n"/>
      <c r="H103" s="11" t="inlineStr">
        <is>
          <t>To do</t>
        </is>
      </c>
      <c r="I103" s="11" t="n"/>
    </row>
    <row r="104">
      <c r="A104" s="8" t="n">
        <v>103</v>
      </c>
      <c r="B104" s="8" t="inlineStr">
        <is>
          <t>Answer Key</t>
        </is>
      </c>
      <c r="C104" s="8" t="inlineStr">
        <is>
          <t>NBEMS Group A B C Various Post Answer Key 2026</t>
        </is>
      </c>
      <c r="D104" s="8" t="n">
        <v>2026</v>
      </c>
      <c r="E104" s="8" t="inlineStr">
        <is>
          <t>Yes</t>
        </is>
      </c>
      <c r="F104" s="12" t="n"/>
      <c r="G104" s="11" t="n"/>
      <c r="H104" s="11" t="inlineStr">
        <is>
          <t>To do</t>
        </is>
      </c>
      <c r="I104" s="11" t="n"/>
    </row>
    <row r="105">
      <c r="A105" s="8" t="n">
        <v>104</v>
      </c>
      <c r="B105" s="8" t="inlineStr">
        <is>
          <t>Answer Key</t>
        </is>
      </c>
      <c r="C105" s="8" t="inlineStr">
        <is>
          <t>UPSSSC Forest Guard Mains Answer Key 2026</t>
        </is>
      </c>
      <c r="D105" s="8" t="n">
        <v>2026</v>
      </c>
      <c r="E105" s="8" t="inlineStr">
        <is>
          <t>No</t>
        </is>
      </c>
      <c r="F105" s="12" t="n"/>
      <c r="G105" s="11" t="n"/>
      <c r="H105" s="11" t="inlineStr">
        <is>
          <t>To do</t>
        </is>
      </c>
      <c r="I105" s="11" t="n"/>
    </row>
    <row r="106">
      <c r="A106" s="8" t="n">
        <v>105</v>
      </c>
      <c r="B106" s="8" t="inlineStr">
        <is>
          <t>Answer Key</t>
        </is>
      </c>
      <c r="C106" s="8" t="inlineStr">
        <is>
          <t>UPSSSC Scientific and Lab Assistant Mains Answer Key 2026</t>
        </is>
      </c>
      <c r="D106" s="8" t="n">
        <v>2026</v>
      </c>
      <c r="E106" s="8" t="inlineStr">
        <is>
          <t>No</t>
        </is>
      </c>
      <c r="F106" s="12" t="n"/>
      <c r="G106" s="11" t="n"/>
      <c r="H106" s="11" t="inlineStr">
        <is>
          <t>To do</t>
        </is>
      </c>
      <c r="I106" s="11" t="n"/>
    </row>
    <row r="107">
      <c r="A107" s="8" t="n">
        <v>106</v>
      </c>
      <c r="B107" s="8" t="inlineStr">
        <is>
          <t>Answer Key</t>
        </is>
      </c>
      <c r="C107" s="8" t="inlineStr">
        <is>
          <t>Air Force Agniveervayu Intake 02/2027 Answer Key 2026</t>
        </is>
      </c>
      <c r="D107" s="8" t="n">
        <v>2026</v>
      </c>
      <c r="E107" s="8" t="inlineStr">
        <is>
          <t>No</t>
        </is>
      </c>
      <c r="F107" s="12" t="n"/>
      <c r="G107" s="11" t="n"/>
      <c r="H107" s="11" t="inlineStr">
        <is>
          <t>To do</t>
        </is>
      </c>
      <c r="I107" s="11" t="n"/>
    </row>
    <row r="108">
      <c r="A108" s="8" t="n">
        <v>107</v>
      </c>
      <c r="B108" s="8" t="inlineStr">
        <is>
          <t>Answer Key</t>
        </is>
      </c>
      <c r="C108" s="8" t="inlineStr">
        <is>
          <t>Air Force Medical Assistant INET 02/2027 Answer Key</t>
        </is>
      </c>
      <c r="D108" s="8" t="n">
        <v>2027</v>
      </c>
      <c r="E108" s="8" t="inlineStr">
        <is>
          <t>No</t>
        </is>
      </c>
      <c r="F108" s="12" t="n"/>
      <c r="G108" s="11" t="n"/>
      <c r="H108" s="11" t="inlineStr">
        <is>
          <t>To do</t>
        </is>
      </c>
      <c r="I108" s="11" t="n"/>
    </row>
    <row r="109">
      <c r="A109" s="8" t="n">
        <v>108</v>
      </c>
      <c r="B109" s="8" t="inlineStr">
        <is>
          <t>Answer Key</t>
        </is>
      </c>
      <c r="C109" s="8" t="inlineStr">
        <is>
          <t>UPESSC UP Principal Answer Key 2026</t>
        </is>
      </c>
      <c r="D109" s="8" t="n">
        <v>2026</v>
      </c>
      <c r="E109" s="8" t="inlineStr">
        <is>
          <t>Yes</t>
        </is>
      </c>
      <c r="F109" s="12" t="n"/>
      <c r="G109" s="11" t="n"/>
      <c r="H109" s="11" t="inlineStr">
        <is>
          <t>To do</t>
        </is>
      </c>
      <c r="I109" s="11" t="n"/>
    </row>
    <row r="110">
      <c r="A110" s="8" t="n">
        <v>109</v>
      </c>
      <c r="B110" s="8" t="inlineStr">
        <is>
          <t>Answer Key</t>
        </is>
      </c>
      <c r="C110" s="8" t="inlineStr">
        <is>
          <t>ISRO ICRB Assistant and Other Post Answer Key 2026</t>
        </is>
      </c>
      <c r="D110" s="8" t="n">
        <v>2026</v>
      </c>
      <c r="E110" s="8" t="inlineStr">
        <is>
          <t>No</t>
        </is>
      </c>
      <c r="F110" s="12" t="n"/>
      <c r="G110" s="11" t="n"/>
      <c r="H110" s="11" t="inlineStr">
        <is>
          <t>To do</t>
        </is>
      </c>
      <c r="I110" s="11" t="n"/>
    </row>
    <row r="111">
      <c r="A111" s="8" t="n">
        <v>110</v>
      </c>
      <c r="B111" s="8" t="inlineStr">
        <is>
          <t>Answer Key</t>
        </is>
      </c>
      <c r="C111" s="8" t="inlineStr">
        <is>
          <t>RRB NTPC UG CBT II Answer Key 2026 (CEN 07/2025)</t>
        </is>
      </c>
      <c r="D111" s="8" t="n">
        <v>2025</v>
      </c>
      <c r="E111" s="8" t="inlineStr">
        <is>
          <t>No</t>
        </is>
      </c>
      <c r="F111" s="12" t="n"/>
      <c r="G111" s="11" t="n"/>
      <c r="H111" s="11" t="inlineStr">
        <is>
          <t>To do</t>
        </is>
      </c>
      <c r="I111" s="11" t="n"/>
    </row>
    <row r="112">
      <c r="A112" s="8" t="n">
        <v>111</v>
      </c>
      <c r="B112" s="8" t="inlineStr">
        <is>
          <t>Answer Key</t>
        </is>
      </c>
      <c r="C112" s="8" t="inlineStr">
        <is>
          <t>Patna High Court Assistant Answer Key 2026</t>
        </is>
      </c>
      <c r="D112" s="8" t="n">
        <v>2026</v>
      </c>
      <c r="E112" s="8" t="inlineStr">
        <is>
          <t>No</t>
        </is>
      </c>
      <c r="F112" s="12" t="n"/>
      <c r="G112" s="11" t="n"/>
      <c r="H112" s="11" t="inlineStr">
        <is>
          <t>To do</t>
        </is>
      </c>
      <c r="I112" s="11" t="n"/>
    </row>
    <row r="113">
      <c r="A113" s="8" t="n">
        <v>112</v>
      </c>
      <c r="B113" s="8" t="inlineStr">
        <is>
          <t>Answer Key</t>
        </is>
      </c>
      <c r="C113" s="8" t="inlineStr">
        <is>
          <t>SSC Stenographer 2026 Answer Key</t>
        </is>
      </c>
      <c r="D113" s="8" t="n">
        <v>2026</v>
      </c>
      <c r="E113" s="8" t="inlineStr">
        <is>
          <t>Yes</t>
        </is>
      </c>
      <c r="F113" s="12" t="n"/>
      <c r="G113" s="11" t="n"/>
      <c r="H113" s="11" t="inlineStr">
        <is>
          <t>To do</t>
        </is>
      </c>
      <c r="I113" s="11" t="n"/>
    </row>
    <row r="114">
      <c r="A114" s="8" t="n">
        <v>113</v>
      </c>
      <c r="B114" s="8" t="inlineStr">
        <is>
          <t>Answer Key</t>
        </is>
      </c>
      <c r="C114" s="8" t="inlineStr">
        <is>
          <t>UPSSSC Pharmacist Ayurvedic 2024 Answer Key 2026</t>
        </is>
      </c>
      <c r="D114" s="8" t="n">
        <v>2026</v>
      </c>
      <c r="E114" s="8" t="inlineStr">
        <is>
          <t>No</t>
        </is>
      </c>
      <c r="F114" s="12" t="n"/>
      <c r="G114" s="11" t="n"/>
      <c r="H114" s="11" t="inlineStr">
        <is>
          <t>To do</t>
        </is>
      </c>
      <c r="I114" s="11" t="n"/>
    </row>
    <row r="115">
      <c r="A115" s="8" t="n">
        <v>114</v>
      </c>
      <c r="B115" s="8" t="inlineStr">
        <is>
          <t>Answer Key</t>
        </is>
      </c>
      <c r="C115" s="8" t="inlineStr">
        <is>
          <t>UPSSSC Excise Constable Answer Key 2026</t>
        </is>
      </c>
      <c r="D115" s="8" t="n">
        <v>2026</v>
      </c>
      <c r="E115" s="8" t="inlineStr">
        <is>
          <t>No</t>
        </is>
      </c>
      <c r="F115" s="12" t="n"/>
      <c r="G115" s="11" t="n"/>
      <c r="H115" s="11" t="inlineStr">
        <is>
          <t>To do</t>
        </is>
      </c>
      <c r="I115" s="11" t="n"/>
    </row>
    <row r="116">
      <c r="A116" s="8" t="n">
        <v>115</v>
      </c>
      <c r="B116" s="8" t="inlineStr">
        <is>
          <t>Answer Key</t>
        </is>
      </c>
      <c r="C116" s="8" t="inlineStr">
        <is>
          <t>SSC JHT Answer Key 2026</t>
        </is>
      </c>
      <c r="D116" s="8" t="n">
        <v>2026</v>
      </c>
      <c r="E116" s="8" t="inlineStr">
        <is>
          <t>Yes</t>
        </is>
      </c>
      <c r="F116" s="12" t="n"/>
      <c r="G116" s="11" t="n"/>
      <c r="H116" s="11" t="inlineStr">
        <is>
          <t>To do</t>
        </is>
      </c>
      <c r="I116" s="11" t="n"/>
    </row>
    <row r="117">
      <c r="A117" s="8" t="n">
        <v>116</v>
      </c>
      <c r="B117" s="8" t="inlineStr">
        <is>
          <t>Answer Key</t>
        </is>
      </c>
      <c r="C117" s="8" t="inlineStr">
        <is>
          <t>BSF HC Ministerial and ASI Steno Answer Key 2026</t>
        </is>
      </c>
      <c r="D117" s="8" t="n">
        <v>2026</v>
      </c>
      <c r="E117" s="8" t="inlineStr">
        <is>
          <t>No</t>
        </is>
      </c>
      <c r="F117" s="12" t="n"/>
      <c r="G117" s="11" t="n"/>
      <c r="H117" s="11" t="inlineStr">
        <is>
          <t>To do</t>
        </is>
      </c>
      <c r="I117" s="11" t="n"/>
    </row>
    <row r="118">
      <c r="A118" s="8" t="n">
        <v>117</v>
      </c>
      <c r="B118" s="8" t="inlineStr">
        <is>
          <t>Answer Key</t>
        </is>
      </c>
      <c r="C118" s="8" t="inlineStr">
        <is>
          <t>MPESB Krishi Vistar Adhikari Answer Key 2026</t>
        </is>
      </c>
      <c r="D118" s="8" t="n">
        <v>2026</v>
      </c>
      <c r="E118" s="8" t="inlineStr">
        <is>
          <t>No</t>
        </is>
      </c>
      <c r="F118" s="12" t="n"/>
      <c r="G118" s="11" t="n"/>
      <c r="H118" s="11" t="inlineStr">
        <is>
          <t>To do</t>
        </is>
      </c>
      <c r="I118" s="11" t="n"/>
    </row>
    <row r="119">
      <c r="A119" s="8" t="n">
        <v>118</v>
      </c>
      <c r="B119" s="8" t="inlineStr">
        <is>
          <t>Answer Key</t>
        </is>
      </c>
      <c r="C119" s="8" t="inlineStr">
        <is>
          <t>NTA AIAPGET Final Answer Key 2026</t>
        </is>
      </c>
      <c r="D119" s="8" t="n">
        <v>2026</v>
      </c>
      <c r="E119" s="8" t="inlineStr">
        <is>
          <t>No</t>
        </is>
      </c>
      <c r="F119" s="12" t="n"/>
      <c r="G119" s="11" t="n"/>
      <c r="H119" s="11" t="inlineStr">
        <is>
          <t>To do</t>
        </is>
      </c>
      <c r="I119" s="11" t="n"/>
    </row>
    <row r="120">
      <c r="A120" s="8" t="n">
        <v>119</v>
      </c>
      <c r="B120" s="8" t="inlineStr">
        <is>
          <t>Answer Key</t>
        </is>
      </c>
      <c r="C120" s="8" t="inlineStr">
        <is>
          <t>RSSB Computer Instructor Answer Key 2026</t>
        </is>
      </c>
      <c r="D120" s="8" t="n">
        <v>2026</v>
      </c>
      <c r="E120" s="8" t="inlineStr">
        <is>
          <t>No</t>
        </is>
      </c>
      <c r="F120" s="12" t="n"/>
      <c r="G120" s="11" t="n"/>
      <c r="H120" s="11" t="inlineStr">
        <is>
          <t>To do</t>
        </is>
      </c>
      <c r="I120" s="11" t="n"/>
    </row>
    <row r="121">
      <c r="A121" s="8" t="n">
        <v>120</v>
      </c>
      <c r="B121" s="8" t="inlineStr">
        <is>
          <t>Answer Key</t>
        </is>
      </c>
      <c r="C121" s="8" t="inlineStr">
        <is>
          <t>UPSC CDS II Answer Key 2026</t>
        </is>
      </c>
      <c r="D121" s="8" t="n">
        <v>2026</v>
      </c>
      <c r="E121" s="8" t="inlineStr">
        <is>
          <t>Yes</t>
        </is>
      </c>
      <c r="F121" s="12" t="n"/>
      <c r="G121" s="11" t="n"/>
      <c r="H121" s="11" t="inlineStr">
        <is>
          <t>To do</t>
        </is>
      </c>
      <c r="I121" s="11" t="n"/>
    </row>
    <row r="122">
      <c r="A122" s="8" t="n">
        <v>121</v>
      </c>
      <c r="B122" s="8" t="inlineStr">
        <is>
          <t>Answer Key</t>
        </is>
      </c>
      <c r="C122" s="8" t="inlineStr">
        <is>
          <t>UPSC NDA II Answer Key 2026</t>
        </is>
      </c>
      <c r="D122" s="8" t="n">
        <v>2026</v>
      </c>
      <c r="E122" s="8" t="inlineStr">
        <is>
          <t>Yes</t>
        </is>
      </c>
      <c r="F122" s="12" t="n"/>
      <c r="G122" s="11" t="n"/>
      <c r="H122" s="11" t="inlineStr">
        <is>
          <t>To do</t>
        </is>
      </c>
      <c r="I122" s="11" t="n"/>
    </row>
    <row r="123">
      <c r="A123" s="8" t="n">
        <v>122</v>
      </c>
      <c r="B123" s="8" t="inlineStr">
        <is>
          <t>Answer Key</t>
        </is>
      </c>
      <c r="C123" s="8" t="inlineStr">
        <is>
          <t>UPSSSC Teacher Cadre JTC Revised Answer Key 2026</t>
        </is>
      </c>
      <c r="D123" s="8" t="n">
        <v>2026</v>
      </c>
      <c r="E123" s="8" t="inlineStr">
        <is>
          <t>No</t>
        </is>
      </c>
      <c r="F123" s="12" t="n"/>
      <c r="G123" s="11" t="n"/>
      <c r="H123" s="11" t="inlineStr">
        <is>
          <t>To do</t>
        </is>
      </c>
      <c r="I123" s="11" t="n"/>
    </row>
    <row r="124">
      <c r="A124" s="8" t="n">
        <v>123</v>
      </c>
      <c r="B124" s="8" t="inlineStr">
        <is>
          <t>Answer Key</t>
        </is>
      </c>
      <c r="C124" s="8" t="inlineStr">
        <is>
          <t>UPSSSC Assistant Boring Technician Revised Answer Key 2026</t>
        </is>
      </c>
      <c r="D124" s="8" t="n">
        <v>2026</v>
      </c>
      <c r="E124" s="8" t="inlineStr">
        <is>
          <t>No</t>
        </is>
      </c>
      <c r="F124" s="12" t="n"/>
      <c r="G124" s="11" t="n"/>
      <c r="H124" s="11" t="inlineStr">
        <is>
          <t>To do</t>
        </is>
      </c>
      <c r="I124" s="11" t="n"/>
    </row>
    <row r="125">
      <c r="A125" s="8" t="n">
        <v>124</v>
      </c>
      <c r="B125" s="8" t="inlineStr">
        <is>
          <t>Answer Key</t>
        </is>
      </c>
      <c r="C125" s="8" t="inlineStr">
        <is>
          <t>DSSSB MTS Answer Key 2026</t>
        </is>
      </c>
      <c r="D125" s="8" t="n">
        <v>2026</v>
      </c>
      <c r="E125" s="8" t="inlineStr">
        <is>
          <t>Yes</t>
        </is>
      </c>
      <c r="F125" s="12" t="n"/>
      <c r="G125" s="11" t="n"/>
      <c r="H125" s="11" t="inlineStr">
        <is>
          <t>To do</t>
        </is>
      </c>
      <c r="I125" s="11" t="n"/>
    </row>
    <row r="126">
      <c r="A126" s="8" t="n">
        <v>125</v>
      </c>
      <c r="B126" s="8" t="inlineStr">
        <is>
          <t>Answer Key</t>
        </is>
      </c>
      <c r="C126" s="8" t="inlineStr">
        <is>
          <t>NTA UGC NET Re Exam Answer Key 2026</t>
        </is>
      </c>
      <c r="D126" s="8" t="n">
        <v>2026</v>
      </c>
      <c r="E126" s="8" t="inlineStr">
        <is>
          <t>No</t>
        </is>
      </c>
      <c r="F126" s="12" t="n"/>
      <c r="G126" s="11" t="n"/>
      <c r="H126" s="11" t="inlineStr">
        <is>
          <t>To do</t>
        </is>
      </c>
      <c r="I126" s="11" t="n"/>
    </row>
    <row r="127">
      <c r="A127" s="8" t="n">
        <v>126</v>
      </c>
      <c r="B127" s="8" t="inlineStr">
        <is>
          <t>Answer Key</t>
        </is>
      </c>
      <c r="C127" s="8" t="inlineStr">
        <is>
          <t>RRB Group D Answer Key 2026 (CEN 09/2025)</t>
        </is>
      </c>
      <c r="D127" s="8" t="n">
        <v>2025</v>
      </c>
      <c r="E127" s="8" t="inlineStr">
        <is>
          <t>Yes</t>
        </is>
      </c>
      <c r="F127" s="12" t="n"/>
      <c r="G127" s="11" t="n"/>
      <c r="H127" s="11" t="inlineStr">
        <is>
          <t>To do</t>
        </is>
      </c>
      <c r="I127" s="11" t="n"/>
    </row>
    <row r="128">
      <c r="A128" s="8" t="n">
        <v>127</v>
      </c>
      <c r="B128" s="8" t="inlineStr">
        <is>
          <t>Answer Key</t>
        </is>
      </c>
      <c r="C128" s="8" t="inlineStr">
        <is>
          <t>RPSC APO Answer Key 2026</t>
        </is>
      </c>
      <c r="D128" s="8" t="n">
        <v>2026</v>
      </c>
      <c r="E128" s="8" t="inlineStr">
        <is>
          <t>Yes</t>
        </is>
      </c>
      <c r="F128" s="12" t="n"/>
      <c r="G128" s="11" t="n"/>
      <c r="H128" s="11" t="inlineStr">
        <is>
          <t>To do</t>
        </is>
      </c>
      <c r="I128" s="11" t="n"/>
    </row>
    <row r="129">
      <c r="A129" s="8" t="n">
        <v>128</v>
      </c>
      <c r="B129" s="8" t="inlineStr">
        <is>
          <t>Answer Key</t>
        </is>
      </c>
      <c r="C129" s="8" t="inlineStr">
        <is>
          <t>HTET OMR Sheet 2026</t>
        </is>
      </c>
      <c r="D129" s="8" t="n">
        <v>2026</v>
      </c>
      <c r="E129" s="8" t="inlineStr">
        <is>
          <t>No</t>
        </is>
      </c>
      <c r="F129" s="12" t="n"/>
      <c r="G129" s="11" t="n"/>
      <c r="H129" s="11" t="inlineStr">
        <is>
          <t>To do</t>
        </is>
      </c>
      <c r="I129" s="11" t="n"/>
    </row>
    <row r="130">
      <c r="A130" s="8" t="n">
        <v>129</v>
      </c>
      <c r="B130" s="8" t="inlineStr">
        <is>
          <t>Answer Key</t>
        </is>
      </c>
      <c r="C130" s="8" t="inlineStr">
        <is>
          <t>BSNL JTO Answer Key 2026</t>
        </is>
      </c>
      <c r="D130" s="8" t="n">
        <v>2026</v>
      </c>
      <c r="E130" s="8" t="inlineStr">
        <is>
          <t>Yes</t>
        </is>
      </c>
      <c r="F130" s="12" t="n"/>
      <c r="G130" s="11" t="n"/>
      <c r="H130" s="11" t="inlineStr">
        <is>
          <t>To do</t>
        </is>
      </c>
      <c r="I130" s="11" t="n"/>
    </row>
    <row r="131">
      <c r="A131" s="8" t="n">
        <v>130</v>
      </c>
      <c r="B131" s="8" t="inlineStr">
        <is>
          <t>Syllabus</t>
        </is>
      </c>
      <c r="C131" s="8" t="inlineStr">
        <is>
          <t>UP Assistant Teacher Primary Class 1 to 5 Syllabus 2026</t>
        </is>
      </c>
      <c r="D131" s="8" t="n">
        <v>2026</v>
      </c>
      <c r="E131" s="8" t="inlineStr">
        <is>
          <t>Yes</t>
        </is>
      </c>
      <c r="F131" s="12" t="n"/>
      <c r="G131" s="11" t="n"/>
      <c r="H131" s="11" t="inlineStr">
        <is>
          <t>To do</t>
        </is>
      </c>
      <c r="I131" s="11" t="n"/>
    </row>
    <row r="132">
      <c r="A132" s="8" t="n">
        <v>131</v>
      </c>
      <c r="B132" s="8" t="inlineStr">
        <is>
          <t>Syllabus</t>
        </is>
      </c>
      <c r="C132" s="8" t="inlineStr">
        <is>
          <t>SSC CHSL Tier I, Tier II Syllabus 2026</t>
        </is>
      </c>
      <c r="D132" s="8" t="n">
        <v>2026</v>
      </c>
      <c r="E132" s="8" t="inlineStr">
        <is>
          <t>Yes</t>
        </is>
      </c>
      <c r="F132" s="12" t="n"/>
      <c r="G132" s="11" t="n"/>
      <c r="H132" s="11" t="inlineStr">
        <is>
          <t>To do</t>
        </is>
      </c>
      <c r="I132" s="11" t="n"/>
    </row>
    <row r="133">
      <c r="A133" s="8" t="n">
        <v>132</v>
      </c>
      <c r="B133" s="8" t="inlineStr">
        <is>
          <t>Syllabus</t>
        </is>
      </c>
      <c r="C133" s="8" t="inlineStr">
        <is>
          <t>SSC JE 2026 Paper I &amp; II Syllabus</t>
        </is>
      </c>
      <c r="D133" s="8" t="n">
        <v>2026</v>
      </c>
      <c r="E133" s="8" t="inlineStr">
        <is>
          <t>Yes</t>
        </is>
      </c>
      <c r="F133" s="12" t="n"/>
      <c r="G133" s="11" t="n"/>
      <c r="H133" s="11" t="inlineStr">
        <is>
          <t>To do</t>
        </is>
      </c>
      <c r="I133" s="11" t="n"/>
    </row>
    <row r="134">
      <c r="A134" s="8" t="n">
        <v>133</v>
      </c>
      <c r="B134" s="8" t="inlineStr">
        <is>
          <t>Syllabus</t>
        </is>
      </c>
      <c r="C134" s="8" t="inlineStr">
        <is>
          <t>UPESSC UP Super TET Syllabus 2026</t>
        </is>
      </c>
      <c r="D134" s="8" t="n">
        <v>2026</v>
      </c>
      <c r="E134" s="8" t="inlineStr">
        <is>
          <t>Yes</t>
        </is>
      </c>
      <c r="F134" s="12" t="n"/>
      <c r="G134" s="11" t="n"/>
      <c r="H134" s="11" t="inlineStr">
        <is>
          <t>To do</t>
        </is>
      </c>
      <c r="I134" s="11" t="n"/>
    </row>
    <row r="135">
      <c r="A135" s="8" t="n">
        <v>134</v>
      </c>
      <c r="B135" s="8" t="inlineStr">
        <is>
          <t>Syllabus</t>
        </is>
      </c>
      <c r="C135" s="8" t="inlineStr">
        <is>
          <t>UPSSSC Veterinary Pharmacist Syllabus 2026</t>
        </is>
      </c>
      <c r="D135" s="8" t="n">
        <v>2026</v>
      </c>
      <c r="E135" s="8" t="inlineStr">
        <is>
          <t>No</t>
        </is>
      </c>
      <c r="F135" s="12" t="n"/>
      <c r="G135" s="11" t="n"/>
      <c r="H135" s="11" t="inlineStr">
        <is>
          <t>To do</t>
        </is>
      </c>
      <c r="I135" s="11" t="n"/>
    </row>
    <row r="136">
      <c r="A136" s="8" t="n">
        <v>135</v>
      </c>
      <c r="B136" s="8" t="inlineStr">
        <is>
          <t>Syllabus</t>
        </is>
      </c>
      <c r="C136" s="8" t="inlineStr">
        <is>
          <t>UPSSSC Livestock Extension Officer Syllabus 2026</t>
        </is>
      </c>
      <c r="D136" s="8" t="n">
        <v>2026</v>
      </c>
      <c r="E136" s="8" t="inlineStr">
        <is>
          <t>No</t>
        </is>
      </c>
      <c r="F136" s="12" t="n"/>
      <c r="G136" s="11" t="n"/>
      <c r="H136" s="11" t="inlineStr">
        <is>
          <t>To do</t>
        </is>
      </c>
      <c r="I136" s="11" t="n"/>
    </row>
    <row r="137">
      <c r="A137" s="8" t="n">
        <v>136</v>
      </c>
      <c r="B137" s="8" t="inlineStr">
        <is>
          <t>Syllabus</t>
        </is>
      </c>
      <c r="C137" s="8" t="inlineStr">
        <is>
          <t>UPSSSC Scientific / Lab Assistant Syllabus 2026</t>
        </is>
      </c>
      <c r="D137" s="8" t="n">
        <v>2026</v>
      </c>
      <c r="E137" s="8" t="inlineStr">
        <is>
          <t>No</t>
        </is>
      </c>
      <c r="F137" s="12" t="n"/>
      <c r="G137" s="11" t="n"/>
      <c r="H137" s="11" t="inlineStr">
        <is>
          <t>To do</t>
        </is>
      </c>
      <c r="I137" s="11" t="n"/>
    </row>
    <row r="138">
      <c r="A138" s="8" t="n">
        <v>137</v>
      </c>
      <c r="B138" s="8" t="inlineStr">
        <is>
          <t>Syllabus</t>
        </is>
      </c>
      <c r="C138" s="8" t="inlineStr">
        <is>
          <t>UPESSC UP TGT, PGT Syllabus 2026</t>
        </is>
      </c>
      <c r="D138" s="8" t="n">
        <v>2026</v>
      </c>
      <c r="E138" s="8" t="inlineStr">
        <is>
          <t>Yes</t>
        </is>
      </c>
      <c r="F138" s="12" t="n"/>
      <c r="G138" s="11" t="n"/>
      <c r="H138" s="11" t="inlineStr">
        <is>
          <t>To do</t>
        </is>
      </c>
      <c r="I138" s="11" t="n"/>
    </row>
    <row r="139">
      <c r="A139" s="8" t="n">
        <v>138</v>
      </c>
      <c r="B139" s="8" t="inlineStr">
        <is>
          <t>Syllabus</t>
        </is>
      </c>
      <c r="C139" s="8" t="inlineStr">
        <is>
          <t>UPSSSC PET 2026 Syllabus</t>
        </is>
      </c>
      <c r="D139" s="8" t="n">
        <v>2026</v>
      </c>
      <c r="E139" s="8" t="inlineStr">
        <is>
          <t>No</t>
        </is>
      </c>
      <c r="F139" s="12" t="n"/>
      <c r="G139" s="11" t="n"/>
      <c r="H139" s="11" t="inlineStr">
        <is>
          <t>To do</t>
        </is>
      </c>
      <c r="I139" s="11" t="n"/>
    </row>
    <row r="140">
      <c r="A140" s="8" t="n">
        <v>139</v>
      </c>
      <c r="B140" s="8" t="inlineStr">
        <is>
          <t>Syllabus</t>
        </is>
      </c>
      <c r="C140" s="8" t="inlineStr">
        <is>
          <t>CLAT 2027 UG PG Syllabus</t>
        </is>
      </c>
      <c r="D140" s="8" t="n">
        <v>2027</v>
      </c>
      <c r="E140" s="8" t="inlineStr">
        <is>
          <t>No</t>
        </is>
      </c>
      <c r="F140" s="12" t="n"/>
      <c r="G140" s="11" t="n"/>
      <c r="H140" s="11" t="inlineStr">
        <is>
          <t>To do</t>
        </is>
      </c>
      <c r="I140" s="11" t="n"/>
    </row>
    <row r="141">
      <c r="A141" s="8" t="n">
        <v>140</v>
      </c>
      <c r="B141" s="8" t="inlineStr">
        <is>
          <t>Syllabus</t>
        </is>
      </c>
      <c r="C141" s="8" t="inlineStr">
        <is>
          <t>UPESSC Principal Syllabus 2026</t>
        </is>
      </c>
      <c r="D141" s="8" t="n">
        <v>2026</v>
      </c>
      <c r="E141" s="8" t="inlineStr">
        <is>
          <t>Yes</t>
        </is>
      </c>
      <c r="F141" s="12" t="n"/>
      <c r="G141" s="11" t="n"/>
      <c r="H141" s="11" t="inlineStr">
        <is>
          <t>To do</t>
        </is>
      </c>
      <c r="I141" s="11" t="n"/>
    </row>
    <row r="142">
      <c r="A142" s="8" t="n">
        <v>141</v>
      </c>
      <c r="B142" s="8" t="inlineStr">
        <is>
          <t>Syllabus</t>
        </is>
      </c>
      <c r="C142" s="8" t="inlineStr">
        <is>
          <t>UPSSSC Moharir 2022 Syllabus</t>
        </is>
      </c>
      <c r="D142" s="8" t="n">
        <v>2022</v>
      </c>
      <c r="E142" s="8" t="inlineStr">
        <is>
          <t>No</t>
        </is>
      </c>
      <c r="F142" s="12" t="n"/>
      <c r="G142" s="11" t="n"/>
      <c r="H142" s="11" t="inlineStr">
        <is>
          <t>To do</t>
        </is>
      </c>
      <c r="I142" s="11" t="n"/>
    </row>
    <row r="143">
      <c r="A143" s="8" t="n">
        <v>142</v>
      </c>
      <c r="B143" s="8" t="inlineStr">
        <is>
          <t>Syllabus</t>
        </is>
      </c>
      <c r="C143" s="8" t="inlineStr">
        <is>
          <t>RSSB Graduate Level CET Syllabus 2026</t>
        </is>
      </c>
      <c r="D143" s="8" t="n">
        <v>2026</v>
      </c>
      <c r="E143" s="8" t="inlineStr">
        <is>
          <t>No</t>
        </is>
      </c>
      <c r="F143" s="12" t="n"/>
      <c r="G143" s="11" t="n"/>
      <c r="H143" s="11" t="inlineStr">
        <is>
          <t>To do</t>
        </is>
      </c>
      <c r="I143" s="11" t="n"/>
    </row>
    <row r="144">
      <c r="A144" s="8" t="n">
        <v>143</v>
      </c>
      <c r="B144" s="8" t="inlineStr">
        <is>
          <t>Syllabus</t>
        </is>
      </c>
      <c r="C144" s="8" t="inlineStr">
        <is>
          <t>UPSSSC Pharmacist Ayurvedic 2024 Syllabus</t>
        </is>
      </c>
      <c r="D144" s="8" t="n">
        <v>2024</v>
      </c>
      <c r="E144" s="8" t="inlineStr">
        <is>
          <t>No</t>
        </is>
      </c>
      <c r="F144" s="12" t="n"/>
      <c r="G144" s="11" t="n"/>
      <c r="H144" s="11" t="inlineStr">
        <is>
          <t>To do</t>
        </is>
      </c>
      <c r="I144" s="11" t="n"/>
    </row>
    <row r="145">
      <c r="A145" s="8" t="n">
        <v>144</v>
      </c>
      <c r="B145" s="8" t="inlineStr">
        <is>
          <t>Syllabus</t>
        </is>
      </c>
      <c r="C145" s="8" t="inlineStr">
        <is>
          <t>RSSB 10+2 CET Syllabus 2026</t>
        </is>
      </c>
      <c r="D145" s="8" t="n">
        <v>2026</v>
      </c>
      <c r="E145" s="8" t="inlineStr">
        <is>
          <t>No</t>
        </is>
      </c>
      <c r="F145" s="12" t="n"/>
      <c r="G145" s="11" t="n"/>
      <c r="H145" s="11" t="inlineStr">
        <is>
          <t>To do</t>
        </is>
      </c>
      <c r="I145" s="11" t="n"/>
    </row>
    <row r="146">
      <c r="A146" s="8" t="n">
        <v>145</v>
      </c>
      <c r="B146" s="8" t="inlineStr">
        <is>
          <t>Syllabus</t>
        </is>
      </c>
      <c r="C146" s="8" t="inlineStr">
        <is>
          <t>UPSSSC Auditor and Assistant Accountant Syllabus 2026</t>
        </is>
      </c>
      <c r="D146" s="8" t="n">
        <v>2026</v>
      </c>
      <c r="E146" s="8" t="inlineStr">
        <is>
          <t>No</t>
        </is>
      </c>
      <c r="F146" s="12" t="n"/>
      <c r="G146" s="11" t="n"/>
      <c r="H146" s="11" t="inlineStr">
        <is>
          <t>To do</t>
        </is>
      </c>
      <c r="I146" s="11" t="n"/>
    </row>
    <row r="147">
      <c r="A147" s="8" t="n">
        <v>146</v>
      </c>
      <c r="B147" s="8" t="inlineStr">
        <is>
          <t>Syllabus</t>
        </is>
      </c>
      <c r="C147" s="8" t="inlineStr">
        <is>
          <t>Allahabad High Court RO, ARO, Computer Assistant Syllabus 2026</t>
        </is>
      </c>
      <c r="D147" s="8" t="n">
        <v>2026</v>
      </c>
      <c r="E147" s="8" t="inlineStr">
        <is>
          <t>No</t>
        </is>
      </c>
      <c r="F147" s="12" t="n"/>
      <c r="G147" s="11" t="n"/>
      <c r="H147" s="11" t="inlineStr">
        <is>
          <t>To do</t>
        </is>
      </c>
      <c r="I147" s="11" t="n"/>
    </row>
    <row r="148">
      <c r="A148" s="8" t="n">
        <v>147</v>
      </c>
      <c r="B148" s="8" t="inlineStr">
        <is>
          <t>Syllabus</t>
        </is>
      </c>
      <c r="C148" s="8" t="inlineStr">
        <is>
          <t>UPSSSC Vidhan Bhawan Guard / Fireman Syllabus 2026</t>
        </is>
      </c>
      <c r="D148" s="8" t="n">
        <v>2026</v>
      </c>
      <c r="E148" s="8" t="inlineStr">
        <is>
          <t>No</t>
        </is>
      </c>
      <c r="F148" s="12" t="n"/>
      <c r="G148" s="11" t="n"/>
      <c r="H148" s="11" t="inlineStr">
        <is>
          <t>To do</t>
        </is>
      </c>
      <c r="I148" s="11" t="n"/>
    </row>
    <row r="149">
      <c r="A149" s="8" t="n">
        <v>148</v>
      </c>
      <c r="B149" s="8" t="inlineStr">
        <is>
          <t>Syllabus</t>
        </is>
      </c>
      <c r="C149" s="8" t="inlineStr">
        <is>
          <t>MPESB Nursing Officer, Sister Tutor Syllabus 2026</t>
        </is>
      </c>
      <c r="D149" s="8" t="n">
        <v>2026</v>
      </c>
      <c r="E149" s="8" t="inlineStr">
        <is>
          <t>No</t>
        </is>
      </c>
      <c r="F149" s="12" t="n"/>
      <c r="G149" s="11" t="n"/>
      <c r="H149" s="11" t="inlineStr">
        <is>
          <t>To do</t>
        </is>
      </c>
      <c r="I149" s="11" t="n"/>
    </row>
    <row r="150">
      <c r="A150" s="8" t="n">
        <v>149</v>
      </c>
      <c r="B150" s="8" t="inlineStr">
        <is>
          <t>Syllabus</t>
        </is>
      </c>
      <c r="C150" s="8" t="inlineStr">
        <is>
          <t>Patna High Court Technical Assistant Syllabus 2026</t>
        </is>
      </c>
      <c r="D150" s="8" t="n">
        <v>2026</v>
      </c>
      <c r="E150" s="8" t="inlineStr">
        <is>
          <t>No</t>
        </is>
      </c>
      <c r="F150" s="12" t="n"/>
      <c r="G150" s="11" t="n"/>
      <c r="H150" s="11" t="inlineStr">
        <is>
          <t>To do</t>
        </is>
      </c>
      <c r="I150" s="11" t="n"/>
    </row>
    <row r="151">
      <c r="A151" s="8" t="n">
        <v>150</v>
      </c>
      <c r="B151" s="8" t="inlineStr">
        <is>
          <t>Syllabus</t>
        </is>
      </c>
      <c r="C151" s="8" t="inlineStr">
        <is>
          <t>JHTET Syllabus 2026</t>
        </is>
      </c>
      <c r="D151" s="8" t="n">
        <v>2026</v>
      </c>
      <c r="E151" s="8" t="inlineStr">
        <is>
          <t>No</t>
        </is>
      </c>
      <c r="F151" s="12" t="n"/>
      <c r="G151" s="11" t="n"/>
      <c r="H151" s="11" t="inlineStr">
        <is>
          <t>To do</t>
        </is>
      </c>
      <c r="I151" s="11" t="n"/>
    </row>
    <row r="152">
      <c r="A152" s="8" t="n">
        <v>151</v>
      </c>
      <c r="B152" s="8" t="inlineStr">
        <is>
          <t>Syllabus</t>
        </is>
      </c>
      <c r="C152" s="8" t="inlineStr">
        <is>
          <t>UPTET 2026 Syllabus</t>
        </is>
      </c>
      <c r="D152" s="8" t="n">
        <v>2026</v>
      </c>
      <c r="E152" s="8" t="inlineStr">
        <is>
          <t>No</t>
        </is>
      </c>
      <c r="F152" s="12" t="n"/>
      <c r="G152" s="11" t="n"/>
      <c r="H152" s="11" t="inlineStr">
        <is>
          <t>To do</t>
        </is>
      </c>
      <c r="I152" s="11" t="n"/>
    </row>
    <row r="153">
      <c r="A153" s="8" t="n">
        <v>152</v>
      </c>
      <c r="B153" s="8" t="inlineStr">
        <is>
          <t>Admission</t>
        </is>
      </c>
      <c r="C153" s="8" t="inlineStr">
        <is>
          <t>AIBE 22nd Online Correction Form 2026</t>
        </is>
      </c>
      <c r="D153" s="8" t="n">
        <v>2026</v>
      </c>
      <c r="E153" s="8" t="inlineStr">
        <is>
          <t>No</t>
        </is>
      </c>
      <c r="F153" s="12" t="n"/>
      <c r="G153" s="11" t="n"/>
      <c r="H153" s="11" t="inlineStr">
        <is>
          <t>To do</t>
        </is>
      </c>
      <c r="I153" s="11" t="n"/>
    </row>
    <row r="154">
      <c r="A154" s="8" t="n">
        <v>153</v>
      </c>
      <c r="B154" s="8" t="inlineStr">
        <is>
          <t>Admission</t>
        </is>
      </c>
      <c r="C154" s="8" t="inlineStr">
        <is>
          <t>NTA JEE Main 2027 Online Form</t>
        </is>
      </c>
      <c r="D154" s="8" t="n">
        <v>2027</v>
      </c>
      <c r="E154" s="8" t="inlineStr">
        <is>
          <t>No</t>
        </is>
      </c>
      <c r="F154" s="12" t="n"/>
      <c r="G154" s="11" t="n"/>
      <c r="H154" s="11" t="inlineStr">
        <is>
          <t>To do</t>
        </is>
      </c>
      <c r="I154" s="11" t="n"/>
    </row>
    <row r="155">
      <c r="A155" s="8" t="n">
        <v>154</v>
      </c>
      <c r="B155" s="8" t="inlineStr">
        <is>
          <t>Admission</t>
        </is>
      </c>
      <c r="C155" s="8" t="inlineStr">
        <is>
          <t>UP Scholarship Online Form 2026</t>
        </is>
      </c>
      <c r="D155" s="8" t="n">
        <v>2026</v>
      </c>
      <c r="E155" s="8" t="inlineStr">
        <is>
          <t>No</t>
        </is>
      </c>
      <c r="F155" s="12" t="n"/>
      <c r="G155" s="11" t="n"/>
      <c r="H155" s="11" t="inlineStr">
        <is>
          <t>To do</t>
        </is>
      </c>
      <c r="I155" s="11" t="n"/>
    </row>
    <row r="156">
      <c r="A156" s="8" t="n">
        <v>155</v>
      </c>
      <c r="B156" s="8" t="inlineStr">
        <is>
          <t>Admission</t>
        </is>
      </c>
      <c r="C156" s="8" t="inlineStr">
        <is>
          <t>NTA NIFT Admission Online Form 2027</t>
        </is>
      </c>
      <c r="D156" s="8" t="n">
        <v>2027</v>
      </c>
      <c r="E156" s="8" t="inlineStr">
        <is>
          <t>No</t>
        </is>
      </c>
      <c r="F156" s="12" t="n"/>
      <c r="G156" s="11" t="n"/>
      <c r="H156" s="11" t="inlineStr">
        <is>
          <t>To do</t>
        </is>
      </c>
      <c r="I156" s="11" t="n"/>
    </row>
    <row r="157">
      <c r="A157" s="8" t="n">
        <v>156</v>
      </c>
      <c r="B157" s="8" t="inlineStr">
        <is>
          <t>Admission</t>
        </is>
      </c>
      <c r="C157" s="8" t="inlineStr">
        <is>
          <t>IIT GATE 2027 Online Form</t>
        </is>
      </c>
      <c r="D157" s="8" t="n">
        <v>2027</v>
      </c>
      <c r="E157" s="8" t="inlineStr">
        <is>
          <t>No</t>
        </is>
      </c>
      <c r="F157" s="12" t="n"/>
      <c r="G157" s="11" t="n"/>
      <c r="H157" s="11" t="inlineStr">
        <is>
          <t>To do</t>
        </is>
      </c>
      <c r="I157" s="11" t="n"/>
    </row>
    <row r="158">
      <c r="A158" s="8" t="n">
        <v>157</v>
      </c>
      <c r="B158" s="8" t="inlineStr">
        <is>
          <t>Admission</t>
        </is>
      </c>
      <c r="C158" s="8" t="inlineStr">
        <is>
          <t>IIT JAM 2027 Online Form</t>
        </is>
      </c>
      <c r="D158" s="8" t="n">
        <v>2027</v>
      </c>
      <c r="E158" s="8" t="inlineStr">
        <is>
          <t>No</t>
        </is>
      </c>
      <c r="F158" s="12" t="n"/>
      <c r="G158" s="11" t="n"/>
      <c r="H158" s="11" t="inlineStr">
        <is>
          <t>To do</t>
        </is>
      </c>
      <c r="I158" s="11" t="n"/>
    </row>
    <row r="159">
      <c r="A159" s="8" t="n">
        <v>158</v>
      </c>
      <c r="B159" s="8" t="inlineStr">
        <is>
          <t>Admission</t>
        </is>
      </c>
      <c r="C159" s="8" t="inlineStr">
        <is>
          <t>UPRTOU Ph.D Entrance Online Form 2026</t>
        </is>
      </c>
      <c r="D159" s="8" t="n">
        <v>2026</v>
      </c>
      <c r="E159" s="8" t="inlineStr">
        <is>
          <t>No</t>
        </is>
      </c>
      <c r="F159" s="12" t="n"/>
      <c r="G159" s="11" t="n"/>
      <c r="H159" s="11" t="inlineStr">
        <is>
          <t>To do</t>
        </is>
      </c>
      <c r="I159" s="11" t="n"/>
    </row>
    <row r="160">
      <c r="A160" s="8" t="n">
        <v>159</v>
      </c>
      <c r="B160" s="8" t="inlineStr">
        <is>
          <t>Admission</t>
        </is>
      </c>
      <c r="C160" s="8" t="inlineStr">
        <is>
          <t>IIM CAT Admission Online Form 2026</t>
        </is>
      </c>
      <c r="D160" s="8" t="n">
        <v>2026</v>
      </c>
      <c r="E160" s="8" t="inlineStr">
        <is>
          <t>No</t>
        </is>
      </c>
      <c r="F160" s="12" t="n"/>
      <c r="G160" s="11" t="n"/>
      <c r="H160" s="11" t="inlineStr">
        <is>
          <t>To do</t>
        </is>
      </c>
      <c r="I160" s="11" t="n"/>
    </row>
    <row r="161">
      <c r="A161" s="8" t="n">
        <v>160</v>
      </c>
      <c r="B161" s="8" t="inlineStr">
        <is>
          <t>Admission</t>
        </is>
      </c>
      <c r="C161" s="8" t="inlineStr">
        <is>
          <t>Bihar Library Eligibility Test BLET Online Form 2026</t>
        </is>
      </c>
      <c r="D161" s="8" t="n">
        <v>2026</v>
      </c>
      <c r="E161" s="8" t="inlineStr">
        <is>
          <t>No</t>
        </is>
      </c>
      <c r="F161" s="12" t="n"/>
      <c r="G161" s="11" t="n"/>
      <c r="H161" s="11" t="inlineStr">
        <is>
          <t>To do</t>
        </is>
      </c>
      <c r="I161" s="11" t="n"/>
    </row>
    <row r="162">
      <c r="A162" s="8" t="n">
        <v>161</v>
      </c>
      <c r="B162" s="8" t="inlineStr">
        <is>
          <t>Admission</t>
        </is>
      </c>
      <c r="C162" s="8" t="inlineStr">
        <is>
          <t>NTA RIMC Class 8th Admission Online Form 2027</t>
        </is>
      </c>
      <c r="D162" s="8" t="n">
        <v>2027</v>
      </c>
      <c r="E162" s="8" t="inlineStr">
        <is>
          <t>No</t>
        </is>
      </c>
      <c r="F162" s="12" t="n"/>
      <c r="G162" s="11" t="n"/>
      <c r="H162" s="11" t="inlineStr">
        <is>
          <t>To do</t>
        </is>
      </c>
      <c r="I162" s="11" t="n"/>
    </row>
    <row r="163">
      <c r="A163" s="8" t="n">
        <v>162</v>
      </c>
      <c r="B163" s="8" t="inlineStr">
        <is>
          <t>Admission</t>
        </is>
      </c>
      <c r="C163" s="8" t="inlineStr">
        <is>
          <t>Allahabad University PhD Admission Online Form 2026</t>
        </is>
      </c>
      <c r="D163" s="8" t="n">
        <v>2026</v>
      </c>
      <c r="E163" s="8" t="inlineStr">
        <is>
          <t>No</t>
        </is>
      </c>
      <c r="F163" s="12" t="n"/>
      <c r="G163" s="11" t="n"/>
      <c r="H163" s="11" t="inlineStr">
        <is>
          <t>To do</t>
        </is>
      </c>
      <c r="I163" s="11" t="n"/>
    </row>
    <row r="164">
      <c r="A164" s="8" t="n">
        <v>163</v>
      </c>
      <c r="B164" s="8" t="inlineStr">
        <is>
          <t>Admission</t>
        </is>
      </c>
      <c r="C164" s="8" t="inlineStr">
        <is>
          <t>UP DELED Online Counselling 2026</t>
        </is>
      </c>
      <c r="D164" s="8" t="n">
        <v>2026</v>
      </c>
      <c r="E164" s="8" t="inlineStr">
        <is>
          <t>No</t>
        </is>
      </c>
      <c r="F164" s="12" t="n"/>
      <c r="G164" s="11" t="n"/>
      <c r="H164" s="11" t="inlineStr">
        <is>
          <t>To do</t>
        </is>
      </c>
      <c r="I164" s="11" t="n"/>
    </row>
    <row r="165">
      <c r="A165" s="8" t="n">
        <v>164</v>
      </c>
      <c r="B165" s="8" t="inlineStr">
        <is>
          <t>Admission</t>
        </is>
      </c>
      <c r="C165" s="8" t="inlineStr">
        <is>
          <t>NVS Class 6th Admission Online Form 2027</t>
        </is>
      </c>
      <c r="D165" s="8" t="n">
        <v>2027</v>
      </c>
      <c r="E165" s="8" t="inlineStr">
        <is>
          <t>Yes</t>
        </is>
      </c>
      <c r="F165" s="12" t="n"/>
      <c r="G165" s="11" t="n"/>
      <c r="H165" s="11" t="inlineStr">
        <is>
          <t>To do</t>
        </is>
      </c>
      <c r="I165" s="11" t="n"/>
    </row>
    <row r="166">
      <c r="A166" s="8" t="n">
        <v>165</v>
      </c>
      <c r="B166" s="8" t="inlineStr">
        <is>
          <t>Admission</t>
        </is>
      </c>
      <c r="C166" s="8" t="inlineStr">
        <is>
          <t>NEET UG 2026 Online Counselling</t>
        </is>
      </c>
      <c r="D166" s="8" t="n">
        <v>2026</v>
      </c>
      <c r="E166" s="8" t="inlineStr">
        <is>
          <t>No</t>
        </is>
      </c>
      <c r="F166" s="12" t="n"/>
      <c r="G166" s="11" t="n"/>
      <c r="H166" s="11" t="inlineStr">
        <is>
          <t>To do</t>
        </is>
      </c>
      <c r="I166" s="11" t="n"/>
    </row>
    <row r="167">
      <c r="A167" s="8" t="n">
        <v>166</v>
      </c>
      <c r="B167" s="8" t="inlineStr">
        <is>
          <t>Admission</t>
        </is>
      </c>
      <c r="C167" s="8" t="inlineStr">
        <is>
          <t>SAV Jamui Bihar Class 6 Admission Online Form 2027</t>
        </is>
      </c>
      <c r="D167" s="8" t="n">
        <v>2027</v>
      </c>
      <c r="E167" s="8" t="inlineStr">
        <is>
          <t>No</t>
        </is>
      </c>
      <c r="F167" s="12" t="n"/>
      <c r="G167" s="11" t="n"/>
      <c r="H167" s="11" t="inlineStr">
        <is>
          <t>To do</t>
        </is>
      </c>
      <c r="I167" s="11" t="n"/>
    </row>
    <row r="168">
      <c r="A168" s="8" t="n">
        <v>167</v>
      </c>
      <c r="B168" s="8" t="inlineStr">
        <is>
          <t>Admission</t>
        </is>
      </c>
      <c r="C168" s="8" t="inlineStr">
        <is>
          <t>UP ITI Admission Online Form 2026</t>
        </is>
      </c>
      <c r="D168" s="8" t="n">
        <v>2026</v>
      </c>
      <c r="E168" s="8" t="inlineStr">
        <is>
          <t>No</t>
        </is>
      </c>
      <c r="F168" s="12" t="n"/>
      <c r="G168" s="11" t="n"/>
      <c r="H168" s="11" t="inlineStr">
        <is>
          <t>To do</t>
        </is>
      </c>
      <c r="I168" s="11" t="n"/>
    </row>
    <row r="169">
      <c r="A169" s="8" t="n">
        <v>168</v>
      </c>
      <c r="B169" s="8" t="inlineStr">
        <is>
          <t>Admission</t>
        </is>
      </c>
      <c r="C169" s="8" t="inlineStr">
        <is>
          <t>CLAT 2027 Admission Online Form</t>
        </is>
      </c>
      <c r="D169" s="8" t="n">
        <v>2027</v>
      </c>
      <c r="E169" s="8" t="inlineStr">
        <is>
          <t>No</t>
        </is>
      </c>
      <c r="F169" s="12" t="n"/>
      <c r="G169" s="11" t="n"/>
      <c r="H169" s="11" t="inlineStr">
        <is>
          <t>To do</t>
        </is>
      </c>
      <c r="I169" s="11" t="n"/>
    </row>
    <row r="170">
      <c r="A170" s="8" t="n">
        <v>169</v>
      </c>
      <c r="B170" s="8" t="inlineStr">
        <is>
          <t>Certificate</t>
        </is>
      </c>
      <c r="C170" s="8" t="inlineStr">
        <is>
          <t>UPTET 2026 Certificate Download</t>
        </is>
      </c>
      <c r="D170" s="8" t="n">
        <v>2026</v>
      </c>
      <c r="E170" s="8" t="inlineStr">
        <is>
          <t>No</t>
        </is>
      </c>
      <c r="F170" s="12" t="n"/>
      <c r="G170" s="11" t="n"/>
      <c r="H170" s="11" t="inlineStr">
        <is>
          <t>To do</t>
        </is>
      </c>
      <c r="I170" s="11" t="n"/>
    </row>
    <row r="171">
      <c r="A171" s="8" t="n">
        <v>170</v>
      </c>
      <c r="B171" s="8" t="inlineStr">
        <is>
          <t>Certificate</t>
        </is>
      </c>
      <c r="C171" s="8" t="inlineStr">
        <is>
          <t>UP DELED 2023 Certificate Download</t>
        </is>
      </c>
      <c r="D171" s="8" t="n">
        <v>2023</v>
      </c>
      <c r="E171" s="8" t="inlineStr">
        <is>
          <t>No</t>
        </is>
      </c>
      <c r="F171" s="12" t="n"/>
      <c r="G171" s="11" t="n"/>
      <c r="H171" s="11" t="inlineStr">
        <is>
          <t>To do</t>
        </is>
      </c>
      <c r="I171" s="11" t="n"/>
    </row>
    <row r="172">
      <c r="A172" s="8" t="n">
        <v>171</v>
      </c>
      <c r="B172" s="8" t="inlineStr">
        <is>
          <t>Certificate</t>
        </is>
      </c>
      <c r="C172" s="8" t="inlineStr">
        <is>
          <t>NTA CSIR UGC NET June 2026 E Certificate</t>
        </is>
      </c>
      <c r="D172" s="8" t="n">
        <v>2026</v>
      </c>
      <c r="E172" s="8" t="inlineStr">
        <is>
          <t>No</t>
        </is>
      </c>
      <c r="F172" s="12" t="n"/>
      <c r="G172" s="11" t="n"/>
      <c r="H172" s="11" t="inlineStr">
        <is>
          <t>To do</t>
        </is>
      </c>
      <c r="I172" s="11" t="n"/>
    </row>
    <row r="173">
      <c r="A173" s="8" t="n">
        <v>172</v>
      </c>
      <c r="B173" s="8" t="inlineStr">
        <is>
          <t>Certificate</t>
        </is>
      </c>
      <c r="C173" s="8" t="inlineStr">
        <is>
          <t>NTA UGC NET June 2026 E Certificate</t>
        </is>
      </c>
      <c r="D173" s="8" t="n">
        <v>2026</v>
      </c>
      <c r="E173" s="8" t="inlineStr">
        <is>
          <t>Yes</t>
        </is>
      </c>
      <c r="F173" s="12" t="n"/>
      <c r="G173" s="11" t="n"/>
      <c r="H173" s="11" t="inlineStr">
        <is>
          <t>To do</t>
        </is>
      </c>
      <c r="I173" s="11" t="n"/>
    </row>
    <row r="174">
      <c r="A174" s="8" t="n">
        <v>173</v>
      </c>
      <c r="B174" s="8" t="inlineStr">
        <is>
          <t>Certificate</t>
        </is>
      </c>
      <c r="C174" s="8" t="inlineStr">
        <is>
          <t>CSJMU Kanpur University Degree / Migration Certificate</t>
        </is>
      </c>
      <c r="D174" s="8" t="n"/>
      <c r="E174" s="8" t="inlineStr">
        <is>
          <t>No</t>
        </is>
      </c>
      <c r="F174" s="12" t="n"/>
      <c r="G174" s="11" t="n"/>
      <c r="H174" s="11" t="inlineStr">
        <is>
          <t>To do</t>
        </is>
      </c>
      <c r="I174" s="11" t="n"/>
    </row>
    <row r="175">
      <c r="A175" s="8" t="n">
        <v>174</v>
      </c>
      <c r="B175" s="8" t="inlineStr">
        <is>
          <t>Certificate</t>
        </is>
      </c>
      <c r="C175" s="8" t="inlineStr">
        <is>
          <t>CCSU Meerut University Provisional &amp; Migration Certificate</t>
        </is>
      </c>
      <c r="D175" s="8" t="n"/>
      <c r="E175" s="8" t="inlineStr">
        <is>
          <t>No</t>
        </is>
      </c>
      <c r="F175" s="12" t="n"/>
      <c r="G175" s="11" t="n"/>
      <c r="H175" s="11" t="inlineStr">
        <is>
          <t>To do</t>
        </is>
      </c>
      <c r="I175" s="11" t="n"/>
    </row>
    <row r="176">
      <c r="A176" s="8" t="n">
        <v>175</v>
      </c>
      <c r="B176" s="8" t="inlineStr">
        <is>
          <t>Certificate</t>
        </is>
      </c>
      <c r="C176" s="8" t="inlineStr">
        <is>
          <t>PRSU Prayagraj University Provisional &amp; Migration Certificate</t>
        </is>
      </c>
      <c r="D176" s="8" t="n"/>
      <c r="E176" s="8" t="inlineStr">
        <is>
          <t>No</t>
        </is>
      </c>
      <c r="F176" s="12" t="n"/>
      <c r="G176" s="11" t="n"/>
      <c r="H176" s="11" t="inlineStr">
        <is>
          <t>To do</t>
        </is>
      </c>
      <c r="I176" s="11" t="n"/>
    </row>
    <row r="177">
      <c r="A177" s="8" t="n">
        <v>176</v>
      </c>
      <c r="B177" s="8" t="inlineStr">
        <is>
          <t>Certificate</t>
        </is>
      </c>
      <c r="C177" s="8" t="inlineStr">
        <is>
          <t>HTET 2024 Certificate Download</t>
        </is>
      </c>
      <c r="D177" s="8" t="n">
        <v>2024</v>
      </c>
      <c r="E177" s="8" t="inlineStr">
        <is>
          <t>No</t>
        </is>
      </c>
      <c r="F177" s="12" t="n"/>
      <c r="G177" s="11" t="n"/>
      <c r="H177" s="11" t="inlineStr">
        <is>
          <t>To do</t>
        </is>
      </c>
      <c r="I177" s="11" t="n"/>
    </row>
    <row r="178">
      <c r="A178" s="8" t="n">
        <v>177</v>
      </c>
      <c r="B178" s="8" t="inlineStr">
        <is>
          <t>Certificate</t>
        </is>
      </c>
      <c r="C178" s="8" t="inlineStr">
        <is>
          <t>CTET February 2026 Certificate Download</t>
        </is>
      </c>
      <c r="D178" s="8" t="n">
        <v>2026</v>
      </c>
      <c r="E178" s="8" t="inlineStr">
        <is>
          <t>No</t>
        </is>
      </c>
      <c r="F178" s="12" t="n"/>
      <c r="G178" s="11" t="n"/>
      <c r="H178" s="11" t="inlineStr">
        <is>
          <t>To do</t>
        </is>
      </c>
      <c r="I178" s="11" t="n"/>
    </row>
    <row r="179">
      <c r="A179" s="8" t="n">
        <v>178</v>
      </c>
      <c r="B179" s="8" t="inlineStr">
        <is>
          <t>Certificate</t>
        </is>
      </c>
      <c r="C179" s="8" t="inlineStr">
        <is>
          <t>NTA CSIR NET December 2025 E Certificate</t>
        </is>
      </c>
      <c r="D179" s="8" t="n">
        <v>2025</v>
      </c>
      <c r="E179" s="8" t="inlineStr">
        <is>
          <t>Yes</t>
        </is>
      </c>
      <c r="F179" s="12" t="n"/>
      <c r="G179" s="11" t="n"/>
      <c r="H179" s="11" t="inlineStr">
        <is>
          <t>To do</t>
        </is>
      </c>
      <c r="I179" s="11" t="n"/>
    </row>
    <row r="180">
      <c r="A180" s="8" t="n">
        <v>179</v>
      </c>
      <c r="B180" s="8" t="inlineStr">
        <is>
          <t>Certificate</t>
        </is>
      </c>
      <c r="C180" s="8" t="inlineStr">
        <is>
          <t>NTA UGC NET December 2025 E Certificate</t>
        </is>
      </c>
      <c r="D180" s="8" t="n">
        <v>2025</v>
      </c>
      <c r="E180" s="8" t="inlineStr">
        <is>
          <t>Yes</t>
        </is>
      </c>
      <c r="F180" s="12" t="n"/>
      <c r="G180" s="11" t="n"/>
      <c r="H180" s="11" t="inlineStr">
        <is>
          <t>To do</t>
        </is>
      </c>
      <c r="I180" s="11" t="n"/>
    </row>
    <row r="181">
      <c r="A181" s="8" t="n">
        <v>180</v>
      </c>
      <c r="B181" s="8" t="inlineStr">
        <is>
          <t>Outsourcing</t>
        </is>
      </c>
      <c r="C181" s="8" t="inlineStr">
        <is>
          <t>KGBV Lakhimpur Kheri Recruitment 2026</t>
        </is>
      </c>
      <c r="D181" s="8" t="n">
        <v>2026</v>
      </c>
      <c r="E181" s="8" t="inlineStr">
        <is>
          <t>No</t>
        </is>
      </c>
      <c r="F181" s="12" t="n"/>
      <c r="G181" s="11" t="n"/>
      <c r="H181" s="11" t="inlineStr">
        <is>
          <t>To do</t>
        </is>
      </c>
      <c r="I181" s="11" t="n"/>
    </row>
    <row r="182">
      <c r="A182" s="8" t="n">
        <v>181</v>
      </c>
      <c r="B182" s="8" t="inlineStr">
        <is>
          <t>Outsourcing</t>
        </is>
      </c>
      <c r="C182" s="8" t="inlineStr">
        <is>
          <t>UP Sewayojan Vibhag MTS Online Form 2026</t>
        </is>
      </c>
      <c r="D182" s="8" t="n">
        <v>2026</v>
      </c>
      <c r="E182" s="8" t="inlineStr">
        <is>
          <t>No</t>
        </is>
      </c>
      <c r="F182" s="12" t="n"/>
      <c r="G182" s="11" t="n"/>
      <c r="H182" s="11" t="inlineStr">
        <is>
          <t>To do</t>
        </is>
      </c>
      <c r="I182" s="11" t="n"/>
    </row>
    <row r="183">
      <c r="A183" s="8" t="n">
        <v>182</v>
      </c>
      <c r="B183" s="8" t="inlineStr">
        <is>
          <t>Outsourcing</t>
        </is>
      </c>
      <c r="C183" s="8" t="inlineStr">
        <is>
          <t>UP Kasganj ECCE Educator Online Form 2026</t>
        </is>
      </c>
      <c r="D183" s="8" t="n">
        <v>2026</v>
      </c>
      <c r="E183" s="8" t="inlineStr">
        <is>
          <t>No</t>
        </is>
      </c>
      <c r="F183" s="12" t="n"/>
      <c r="G183" s="11" t="n"/>
      <c r="H183" s="11" t="inlineStr">
        <is>
          <t>To do</t>
        </is>
      </c>
      <c r="I183" s="11" t="n"/>
    </row>
    <row r="184">
      <c r="A184" s="8" t="n">
        <v>183</v>
      </c>
      <c r="B184" s="8" t="inlineStr">
        <is>
          <t>Outsourcing</t>
        </is>
      </c>
      <c r="C184" s="8" t="inlineStr">
        <is>
          <t>UP Meerut ECCE Educator Online Form 2026</t>
        </is>
      </c>
      <c r="D184" s="8" t="n">
        <v>2026</v>
      </c>
      <c r="E184" s="8" t="inlineStr">
        <is>
          <t>No</t>
        </is>
      </c>
      <c r="F184" s="12" t="n"/>
      <c r="G184" s="11" t="n"/>
      <c r="H184" s="11" t="inlineStr">
        <is>
          <t>To do</t>
        </is>
      </c>
      <c r="I184" s="11" t="n"/>
    </row>
    <row r="185">
      <c r="A185" s="8" t="n">
        <v>184</v>
      </c>
      <c r="B185" s="8" t="inlineStr">
        <is>
          <t>Outsourcing</t>
        </is>
      </c>
      <c r="C185" s="8" t="inlineStr">
        <is>
          <t>UP Kushinagar ECCE Educator Online Form 2026</t>
        </is>
      </c>
      <c r="D185" s="8" t="n">
        <v>2026</v>
      </c>
      <c r="E185" s="8" t="inlineStr">
        <is>
          <t>No</t>
        </is>
      </c>
      <c r="F185" s="12" t="n"/>
      <c r="G185" s="11" t="n"/>
      <c r="H185" s="11" t="inlineStr">
        <is>
          <t>To do</t>
        </is>
      </c>
      <c r="I185" s="11" t="n"/>
    </row>
    <row r="186">
      <c r="A186" s="8" t="n">
        <v>185</v>
      </c>
      <c r="B186" s="8" t="inlineStr">
        <is>
          <t>Outsourcing</t>
        </is>
      </c>
      <c r="C186" s="8" t="inlineStr">
        <is>
          <t>UP Rampur ECCE Educator Online Form 2026</t>
        </is>
      </c>
      <c r="D186" s="8" t="n">
        <v>2026</v>
      </c>
      <c r="E186" s="8" t="inlineStr">
        <is>
          <t>No</t>
        </is>
      </c>
      <c r="F186" s="12" t="n"/>
      <c r="G186" s="11" t="n"/>
      <c r="H186" s="11" t="inlineStr">
        <is>
          <t>To do</t>
        </is>
      </c>
      <c r="I186" s="11" t="n"/>
    </row>
    <row r="187">
      <c r="A187" s="8" t="n">
        <v>186</v>
      </c>
      <c r="B187" s="8" t="inlineStr">
        <is>
          <t>Outsourcing</t>
        </is>
      </c>
      <c r="C187" s="8" t="inlineStr">
        <is>
          <t>UP Fatehpur ECCE Educator Online Form 2026</t>
        </is>
      </c>
      <c r="D187" s="8" t="n">
        <v>2026</v>
      </c>
      <c r="E187" s="8" t="inlineStr">
        <is>
          <t>No</t>
        </is>
      </c>
      <c r="F187" s="12" t="n"/>
      <c r="G187" s="11" t="n"/>
      <c r="H187" s="11" t="inlineStr">
        <is>
          <t>To do</t>
        </is>
      </c>
      <c r="I187" s="11" t="n"/>
    </row>
    <row r="188">
      <c r="A188" s="8" t="n">
        <v>187</v>
      </c>
      <c r="B188" s="8" t="inlineStr">
        <is>
          <t>Outsourcing</t>
        </is>
      </c>
      <c r="C188" s="8" t="inlineStr">
        <is>
          <t>UP Kanpur Nagar ECCE Educator Online Form 2026</t>
        </is>
      </c>
      <c r="D188" s="8" t="n">
        <v>2026</v>
      </c>
      <c r="E188" s="8" t="inlineStr">
        <is>
          <t>No</t>
        </is>
      </c>
      <c r="F188" s="12" t="n"/>
      <c r="G188" s="11" t="n"/>
      <c r="H188" s="11" t="inlineStr">
        <is>
          <t>To do</t>
        </is>
      </c>
      <c r="I188" s="11" t="n"/>
    </row>
    <row r="189">
      <c r="A189" s="8" t="n">
        <v>188</v>
      </c>
      <c r="B189" s="8" t="inlineStr">
        <is>
          <t>Outsourcing</t>
        </is>
      </c>
      <c r="C189" s="8" t="inlineStr">
        <is>
          <t>UP Hapur ECCE Educator Online Form 2026</t>
        </is>
      </c>
      <c r="D189" s="8" t="n">
        <v>2026</v>
      </c>
      <c r="E189" s="8" t="inlineStr">
        <is>
          <t>No</t>
        </is>
      </c>
      <c r="F189" s="12" t="n"/>
      <c r="G189" s="11" t="n"/>
      <c r="H189" s="11" t="inlineStr">
        <is>
          <t>To do</t>
        </is>
      </c>
      <c r="I189" s="11" t="n"/>
    </row>
    <row r="190">
      <c r="A190" s="8" t="n">
        <v>189</v>
      </c>
      <c r="B190" s="8" t="inlineStr">
        <is>
          <t>Outsourcing</t>
        </is>
      </c>
      <c r="C190" s="8" t="inlineStr">
        <is>
          <t>UP Mathura ECCE Educator Online Form 2026</t>
        </is>
      </c>
      <c r="D190" s="8" t="n">
        <v>2026</v>
      </c>
      <c r="E190" s="8" t="inlineStr">
        <is>
          <t>No</t>
        </is>
      </c>
      <c r="F190" s="12" t="n"/>
      <c r="G190" s="11" t="n"/>
      <c r="H190" s="11" t="inlineStr">
        <is>
          <t>To do</t>
        </is>
      </c>
      <c r="I190" s="11" t="n"/>
    </row>
    <row r="191">
      <c r="A191" s="8" t="n">
        <v>190</v>
      </c>
      <c r="B191" s="8" t="inlineStr">
        <is>
          <t>Outsourcing</t>
        </is>
      </c>
      <c r="C191" s="8" t="inlineStr">
        <is>
          <t>UP Jhansi ECCE Educator Online Form 2026</t>
        </is>
      </c>
      <c r="D191" s="8" t="n">
        <v>2026</v>
      </c>
      <c r="E191" s="8" t="inlineStr">
        <is>
          <t>No</t>
        </is>
      </c>
      <c r="F191" s="12" t="n"/>
      <c r="G191" s="11" t="n"/>
      <c r="H191" s="11" t="inlineStr">
        <is>
          <t>To do</t>
        </is>
      </c>
      <c r="I191" s="11" t="n"/>
    </row>
    <row r="192">
      <c r="A192" s="8" t="n">
        <v>191</v>
      </c>
      <c r="B192" s="8" t="inlineStr">
        <is>
          <t>Outsourcing</t>
        </is>
      </c>
      <c r="C192" s="8" t="inlineStr">
        <is>
          <t>Rajasthan Safai Karamchari Online Form 2026</t>
        </is>
      </c>
      <c r="D192" s="8" t="n">
        <v>2026</v>
      </c>
      <c r="E192" s="8" t="inlineStr">
        <is>
          <t>No</t>
        </is>
      </c>
      <c r="F192" s="12" t="n"/>
      <c r="G192" s="11" t="n"/>
      <c r="H192" s="11" t="inlineStr">
        <is>
          <t>To do</t>
        </is>
      </c>
      <c r="I192" s="11" t="n"/>
    </row>
    <row r="193">
      <c r="A193" s="8" t="n">
        <v>192</v>
      </c>
      <c r="B193" s="8" t="inlineStr">
        <is>
          <t>Important</t>
        </is>
      </c>
      <c r="C193" s="8" t="inlineStr">
        <is>
          <t>UP Nursing Council Registration Online Form 2026</t>
        </is>
      </c>
      <c r="D193" s="8" t="n">
        <v>2026</v>
      </c>
      <c r="E193" s="8" t="inlineStr">
        <is>
          <t>No</t>
        </is>
      </c>
      <c r="F193" s="12" t="n"/>
      <c r="G193" s="11" t="n"/>
      <c r="H193" s="11" t="inlineStr">
        <is>
          <t>To do</t>
        </is>
      </c>
      <c r="I193" s="11" t="n"/>
    </row>
    <row r="194">
      <c r="A194" s="8" t="n">
        <v>193</v>
      </c>
      <c r="B194" s="8" t="inlineStr">
        <is>
          <t>Important</t>
        </is>
      </c>
      <c r="C194" s="8" t="inlineStr">
        <is>
          <t>NIELIT CCC Exam Online Form 2026</t>
        </is>
      </c>
      <c r="D194" s="8" t="n">
        <v>2026</v>
      </c>
      <c r="E194" s="8" t="inlineStr">
        <is>
          <t>No</t>
        </is>
      </c>
      <c r="F194" s="12" t="n"/>
      <c r="G194" s="11" t="n"/>
      <c r="H194" s="11" t="inlineStr">
        <is>
          <t>To do</t>
        </is>
      </c>
      <c r="I194" s="11" t="n"/>
    </row>
    <row r="195">
      <c r="A195" s="8" t="n">
        <v>194</v>
      </c>
      <c r="B195" s="8" t="inlineStr">
        <is>
          <t>Important</t>
        </is>
      </c>
      <c r="C195" s="8" t="inlineStr">
        <is>
          <t>DSSSB E Dossier Form 2026</t>
        </is>
      </c>
      <c r="D195" s="8" t="n">
        <v>2026</v>
      </c>
      <c r="E195" s="8" t="inlineStr">
        <is>
          <t>No</t>
        </is>
      </c>
      <c r="F195" s="12" t="n"/>
      <c r="G195" s="11" t="n"/>
      <c r="H195" s="11" t="inlineStr">
        <is>
          <t>To do</t>
        </is>
      </c>
      <c r="I195" s="11" t="n"/>
    </row>
    <row r="196">
      <c r="A196" s="8" t="n">
        <v>195</v>
      </c>
      <c r="B196" s="8" t="inlineStr">
        <is>
          <t>Important</t>
        </is>
      </c>
      <c r="C196" s="8" t="inlineStr">
        <is>
          <t>UP Self Enumeration Online Registration 2026</t>
        </is>
      </c>
      <c r="D196" s="8" t="n">
        <v>2026</v>
      </c>
      <c r="E196" s="8" t="inlineStr">
        <is>
          <t>No</t>
        </is>
      </c>
      <c r="F196" s="12" t="n"/>
      <c r="G196" s="11" t="n"/>
      <c r="H196" s="11" t="inlineStr">
        <is>
          <t>To do</t>
        </is>
      </c>
      <c r="I196" s="11" t="n"/>
    </row>
    <row r="197">
      <c r="A197" s="8" t="n">
        <v>196</v>
      </c>
      <c r="B197" s="8" t="inlineStr">
        <is>
          <t>Important</t>
        </is>
      </c>
      <c r="C197" s="8" t="inlineStr">
        <is>
          <t>MP CPCT Online Form 2026</t>
        </is>
      </c>
      <c r="D197" s="8" t="n">
        <v>2026</v>
      </c>
      <c r="E197" s="8" t="inlineStr">
        <is>
          <t>No</t>
        </is>
      </c>
      <c r="F197" s="12" t="n"/>
      <c r="G197" s="11" t="n"/>
      <c r="H197" s="11" t="inlineStr">
        <is>
          <t>To do</t>
        </is>
      </c>
      <c r="I197" s="11" t="n"/>
    </row>
    <row r="198">
      <c r="A198" s="8" t="n">
        <v>197</v>
      </c>
      <c r="B198" s="8" t="inlineStr">
        <is>
          <t>Important</t>
        </is>
      </c>
      <c r="C198" s="8" t="inlineStr">
        <is>
          <t>SSC OTR One Time Registration</t>
        </is>
      </c>
      <c r="D198" s="8" t="n"/>
      <c r="E198" s="8" t="inlineStr">
        <is>
          <t>No</t>
        </is>
      </c>
      <c r="F198" s="12" t="n"/>
      <c r="G198" s="11" t="n"/>
      <c r="H198" s="11" t="inlineStr">
        <is>
          <t>To do</t>
        </is>
      </c>
      <c r="I198" s="11" t="n"/>
    </row>
  </sheetData>
  <autoFilter ref="A1:I198"/>
  <conditionalFormatting sqref="A2:I198">
    <cfRule type="expression" priority="2" dxfId="0">
      <formula>$H2="Done"</formula>
    </cfRule>
  </conditionalFormatting>
  <dataValidations count="1">
    <dataValidation sqref="H2:H198" showDropDown="0" showInputMessage="0" showErrorMessage="0" allowBlank="1" type="list">
      <formula1>"To do,Writing,Done,Skip"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2026-10-30T14:42:45Z</dcterms:created>
  <dcterms:modified xsi:type="dcterms:W3CDTF">2026-10-30T16:20:30Z</dcterms:modified>
  <cp:lastModifiedBy>SANTOSH kumar</cp:lastModifiedBy>
  <cp:revision>0</cp:revision>
</cp:coreProperties>
</file>