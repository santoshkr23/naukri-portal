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anto\Downloads\"/>
    </mc:Choice>
  </mc:AlternateContent>
  <xr:revisionPtr revIDLastSave="0" documentId="13_ncr:1_{485C401D-9B71-4C61-A177-024E83E26A25}" xr6:coauthVersionLast="47" xr6:coauthVersionMax="47" xr10:uidLastSave="{00000000-0000-0000-0000-000000000000}"/>
  <bookViews>
    <workbookView xWindow="-108" yWindow="-108" windowWidth="23256" windowHeight="12456" tabRatio="500" firstSheet="1" activeTab="6" xr2:uid="{00000000-000D-0000-FFFF-FFFF00000000}"/>
  </bookViews>
  <sheets>
    <sheet name="Summary" sheetId="2" r:id="rId1"/>
    <sheet name="Latest Jobs" sheetId="3" r:id="rId2"/>
    <sheet name="Vacancy &amp; Eligibility" sheetId="4" r:id="rId3"/>
    <sheet name="Admit Card" sheetId="5" r:id="rId4"/>
    <sheet name="Result" sheetId="6" r:id="rId5"/>
    <sheet name="Answer Key" sheetId="7" r:id="rId6"/>
    <sheet name="Admission" sheetId="8" r:id="rId7"/>
    <sheet name="Syllabus" sheetId="9" r:id="rId8"/>
    <sheet name="Exam Date" sheetId="10" r:id="rId9"/>
    <sheet name="All Posts – To Write" sheetId="11" r:id="rId10"/>
  </sheets>
  <definedNames>
    <definedName name="_xlnm._FilterDatabase" localSheetId="6" hidden="1">Admission!$A$1:$P$2</definedName>
    <definedName name="_xlnm._FilterDatabase" localSheetId="3" hidden="1">'Admit Card'!$A$1:$P$5</definedName>
    <definedName name="_xlnm._FilterDatabase" localSheetId="9" hidden="1">'All Posts – To Write'!$A$1:$I$198</definedName>
    <definedName name="_xlnm._FilterDatabase" localSheetId="5" hidden="1">'Answer Key'!$A$1:$P$4</definedName>
    <definedName name="_xlnm._FilterDatabase" localSheetId="8" hidden="1">'Exam Date'!$A$1:$P$4</definedName>
    <definedName name="_xlnm._FilterDatabase" localSheetId="1" hidden="1">'Latest Jobs'!$A$1:$AA$31</definedName>
    <definedName name="_xlnm._FilterDatabase" localSheetId="4" hidden="1">Result!$A$1:$P$4</definedName>
    <definedName name="_xlnm._FilterDatabase" localSheetId="7" hidden="1">Syllabus!$A$1:$P$4</definedName>
    <definedName name="_xlnm._FilterDatabase" localSheetId="2" hidden="1">'Vacancy &amp; Eligibility'!$A$1:$D$153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1" i="3" l="1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B15" i="2"/>
  <c r="B14" i="2"/>
  <c r="B13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  <c r="E3" i="2"/>
  <c r="D3" i="2"/>
  <c r="C3" i="2"/>
  <c r="B3" i="2"/>
  <c r="E2" i="2"/>
  <c r="E11" i="2" s="1"/>
  <c r="D2" i="2"/>
  <c r="D11" i="2" s="1"/>
  <c r="C2" i="2"/>
  <c r="C11" i="2" s="1"/>
  <c r="B2" i="2"/>
  <c r="B11" i="2" s="1"/>
</calcChain>
</file>

<file path=xl/sharedStrings.xml><?xml version="1.0" encoding="utf-8"?>
<sst xmlns="http://schemas.openxmlformats.org/spreadsheetml/2006/main" count="2005" uniqueCount="895">
  <si>
    <t>Important</t>
  </si>
  <si>
    <t>Progress</t>
  </si>
  <si>
    <t>Total</t>
  </si>
  <si>
    <t>Done</t>
  </si>
  <si>
    <t>Writing</t>
  </si>
  <si>
    <t>To do</t>
  </si>
  <si>
    <t>Latest Jobs</t>
  </si>
  <si>
    <t>Result</t>
  </si>
  <si>
    <t>Admit Card</t>
  </si>
  <si>
    <t>Answer Key</t>
  </si>
  <si>
    <t>Syllabus</t>
  </si>
  <si>
    <t>Admission</t>
  </si>
  <si>
    <t>Certificate</t>
  </si>
  <si>
    <t>Outsourcing</t>
  </si>
  <si>
    <t>All sections</t>
  </si>
  <si>
    <t>Detailed job rows (Latest Jobs sheet)</t>
  </si>
  <si>
    <t>…of which still open today</t>
  </si>
  <si>
    <t>Total vacancies in open jobs</t>
  </si>
  <si>
    <t>#</t>
  </si>
  <si>
    <t>Post name</t>
  </si>
  <si>
    <t>Organisation</t>
  </si>
  <si>
    <t>Advt. no.</t>
  </si>
  <si>
    <t>Total posts</t>
  </si>
  <si>
    <t>Post date</t>
  </si>
  <si>
    <t>Application starts</t>
  </si>
  <si>
    <t>Last date</t>
  </si>
  <si>
    <t>Status</t>
  </si>
  <si>
    <t>Fee last date</t>
  </si>
  <si>
    <t>Exam date</t>
  </si>
  <si>
    <t>All important dates</t>
  </si>
  <si>
    <t>Application fee</t>
  </si>
  <si>
    <t>Fee payment mode</t>
  </si>
  <si>
    <t>Min age</t>
  </si>
  <si>
    <t>Max age</t>
  </si>
  <si>
    <t>Age note / as on</t>
  </si>
  <si>
    <t>Vacancy (post – count)</t>
  </si>
  <si>
    <t>Eligibility</t>
  </si>
  <si>
    <t>Category-wise vacancy</t>
  </si>
  <si>
    <t>Pay / stipend</t>
  </si>
  <si>
    <t>Selection process</t>
  </si>
  <si>
    <t>Official links</t>
  </si>
  <si>
    <t>YOUR short info (write)</t>
  </si>
  <si>
    <t>YOUR how to apply (write)</t>
  </si>
  <si>
    <t>YOUR FAQs (write)</t>
  </si>
  <si>
    <t>Written?</t>
  </si>
  <si>
    <t>Indian Army TGC-145 (July 2027 batch) Online Form 2026</t>
  </si>
  <si>
    <t>Indian Army</t>
  </si>
  <si>
    <t>TGC-145</t>
  </si>
  <si>
    <t>07 Oct 2026</t>
  </si>
  <si>
    <t>30 Sep 2026</t>
  </si>
  <si>
    <t>No fee</t>
  </si>
  <si>
    <t>SSB interview as per Army schedule</t>
  </si>
  <si>
    <t>Application starts: 30 Sep 2026
Last date: 2026-10-29
Fee last date: No fee
Exam: SSB interview as per Army schedule</t>
  </si>
  <si>
    <t>All candidates: No fee</t>
  </si>
  <si>
    <t>20 years</t>
  </si>
  <si>
    <t>27 years</t>
  </si>
  <si>
    <t>As on 01 Jan 2027; unmarried men only</t>
  </si>
  <si>
    <t>Civil / Building Construction – 8
Computer Science / IT / M.Sc CS – 6
Mechanical / Production / Automobile – 6
Electronics &amp; Telecom – 6
Electrical / EEE – 2
Misc. engineering streams – 2</t>
  </si>
  <si>
    <t>Civil / Building Construction – B.E./B.Tech in branch (final-year can apply)
Computer Science / IT / M.Sc CS – B.E./B.Tech or M.Sc in branch
Mechanical / Production / Automobile – B.E./B.Tech in branch
Electronics &amp; Telecom – B.E./B.Tech in branch
Electrical / EEE – B.E./B.Tech in branch
Misc. engineering streams – B.E./B.Tech in branch</t>
  </si>
  <si>
    <t>See official notification</t>
  </si>
  <si>
    <t>Apply online: https://joinindianarmy.nic.in/
Join Indian Army official website: https://joinindianarmy.nic.in/index.htm</t>
  </si>
  <si>
    <t>EXAMPLE – replace: [Organisation] has opened [N] posts. Apply online between [start] and [last date]. Check age and qualification below.</t>
  </si>
  <si>
    <t>EXAMPLE – 1. Read the notification  2. Register on the official site  3. Fill form &amp; upload documents  4. Pay fee &amp; print</t>
  </si>
  <si>
    <t>EXAMPLE – Q: What is the last date? A: [date].</t>
  </si>
  <si>
    <t>No</t>
  </si>
  <si>
    <t>NTA UGC NET December 2026 Online Form</t>
  </si>
  <si>
    <t>National Testing Agency (NTA)</t>
  </si>
  <si>
    <t>13 Oct 2026</t>
  </si>
  <si>
    <t>08 Oct 2026</t>
  </si>
  <si>
    <t>31 Oct 2026 (with ₹500 late fee; normal last date 28 Oct)</t>
  </si>
  <si>
    <t>14–19 Dec 2026</t>
  </si>
  <si>
    <t>Application starts: 08 Oct 2026
Last date: 2026-10-31
Fee last date: 31 Oct 2026 (with ₹500 late fee; normal last date 28 Oct)
Exam: 14–19 Dec 2026</t>
  </si>
  <si>
    <t>General: ₹1,150
EWS / OBC: ₹600
SC / ST / PwBD: ₹325
Late fee: ₹500</t>
  </si>
  <si>
    <t>Debit/credit card, net banking, UPI</t>
  </si>
  <si>
    <t>No minimum</t>
  </si>
  <si>
    <t>30 years for JRF; no limit for Assistant Professor / PhD</t>
  </si>
  <si>
    <t>As on 01 Dec 2026</t>
  </si>
  <si>
    <t>JRF / Assistant Professor / PhD admission – —</t>
  </si>
  <si>
    <t>JRF / Assistant Professor / PhD admission – Master’s degree with 55% (50% for reserved)</t>
  </si>
  <si>
    <t>Apply online: https://examinationservices.nic.in/ExamSys27/root/home.aspx?enc=Ei4cajBkK1gZSfgr53ImFV%2FyIzhTZHBze3wooSg9DjjOvzupXmjixBOc0vZyJQ9v
Information bulletin (PDF): https://cdnbbsr.s3waas.gov.in/s301eee509ee2f68dc6014898c309e86bf/uploads/2026/10/202610081852912625.pdf
UGC NET official website: https://ugcnet.nta.nic.in/</t>
  </si>
  <si>
    <t>LIC Housing Finance Apprentice Recruitment 2026</t>
  </si>
  <si>
    <t>LIC Housing Finance Limited</t>
  </si>
  <si>
    <t>Batch 10</t>
  </si>
  <si>
    <t>23 Oct 2026</t>
  </si>
  <si>
    <t>20 Oct 2026</t>
  </si>
  <si>
    <t>01 Nov 2026</t>
  </si>
  <si>
    <t>07 Nov 2026</t>
  </si>
  <si>
    <t>Application starts: 20 Oct 2026
Last date: 2026-11-01
Fee last date: 01 Nov 2026
Exam: 07 Nov 2026</t>
  </si>
  <si>
    <t>General / OBC / EWS (male): ₹800
General / OBC / EWS (female): ₹600
SC / ST / PwBD: ₹200</t>
  </si>
  <si>
    <t>25 years</t>
  </si>
  <si>
    <t>As on 01 Oct 2026</t>
  </si>
  <si>
    <t>Apprentice – 232</t>
  </si>
  <si>
    <t>Apprentice – Graduate in any stream</t>
  </si>
  <si>
    <t>Register on NATS: https://nats.education.gov.in/student_type.php
Notification (PDF): https://cdn.lichousing.com/2026/10/Apprentecis-Advertisement-Notification-Batch-10.pdf
LIC HFL careers: https://www.lichousing.com/careers</t>
  </si>
  <si>
    <t>BPSC School Teacher TRE 4.0 Recruitment 2026</t>
  </si>
  <si>
    <t>Bihar Public Service Commission (BPSC)</t>
  </si>
  <si>
    <t>15/2026</t>
  </si>
  <si>
    <t>26 Oct 2026</t>
  </si>
  <si>
    <t>25 Sep 2026</t>
  </si>
  <si>
    <t>02 Nov 2026</t>
  </si>
  <si>
    <t>To be announced</t>
  </si>
  <si>
    <t>Application starts: 25 Sep 2026
Last date: 2026-11-02
Fee last date: 02 Nov 2026
Exam: To be announced</t>
  </si>
  <si>
    <t>All categories: ₹100</t>
  </si>
  <si>
    <t>Online</t>
  </si>
  <si>
    <t>18 years (21 for TGT/PGT)</t>
  </si>
  <si>
    <t>37 years (men), 40 years (women)</t>
  </si>
  <si>
    <t>Relaxation as per Bihar rules</t>
  </si>
  <si>
    <t>Primary teacher (Class 1–5) – 3847
Middle school teacher (Class 6–8) – 8563
Secondary teacher (Class 9–10) – 4370
Senior secondary teacher (Class 11–12) – 16540</t>
  </si>
  <si>
    <t>Primary teacher (Class 1–5) – 12th + D.El.Ed/B.El.Ed + STET/CTET Paper I
Middle school teacher (Class 6–8) – Graduate + D.El.Ed/B.Ed + CTET/STET Paper II
Secondary teacher (Class 9–10) – Graduate/PG in subject + B.Ed + STET
Senior secondary teacher (Class 11–12) – PG in subject + B.Ed + STET</t>
  </si>
  <si>
    <t>See district-wise vacancy PDFs</t>
  </si>
  <si>
    <t>Apply online (OTR login): https://bpsconline.bihar.gov.in/candidate/login
Detailed advertisement (PDF): https://bpsc.bihar.gov.in/wp-content/uploads/BPSC_content/Notices/Advertisement-152026-TRE-4.0_BPSC-20260922-dbsf04.pdf
BPSC official website: https://bpsc.bihar.gov.in/</t>
  </si>
  <si>
    <t>DSSSB Delhi District Courts Various Post Recruitment 2026</t>
  </si>
  <si>
    <t>Delhi Subordinate Services Selection Board (DSSSB)</t>
  </si>
  <si>
    <t>04/2026</t>
  </si>
  <si>
    <t>06 October 2026</t>
  </si>
  <si>
    <t>Apply online starts: 06 October 2026
Last date to apply: 04 November 2026
Exam date: To be announced</t>
  </si>
  <si>
    <t>General / OBC / EWS: ₹100
SC / ST / PwBD / Female: No fee</t>
  </si>
  <si>
    <t>18 years</t>
  </si>
  <si>
    <t>27 years (as on 01 June 2026; varies by post)</t>
  </si>
  <si>
    <t>Personal Assistant (District Courts) – 189
Junior Judicial Assistant (District Courts) – 151
Peon / Orderly / Dak Peon (District Courts) – 139
Process Server (District Courts) – 91
Senior Personal Assistant (District Courts) – 27
Junior Judicial Assistant (Family Courts) – 23
Personal Assistant (Family Courts) – 17
Peon / Orderly (Family Courts) – 3
Process Server (Family Courts) – 1</t>
  </si>
  <si>
    <t>Senior PA / PA – Graduate + shorthand 110 wpm + typing 40 wpm
Junior Judicial Assistant – Graduate + computer typing 40 wpm
Process Server – 10th pass + LMV licence + 2 years driving
Peon / Orderly / Dak Peon – 10th pass</t>
  </si>
  <si>
    <t>Pay: See official notification</t>
  </si>
  <si>
    <t>Written exam
Skill / typing test (where required)
Document verification</t>
  </si>
  <si>
    <t>Apply online: https://dsssbonline.nic.in/
DSSSB official website: https://dsssb.delhi.gov.in/</t>
  </si>
  <si>
    <t>UPESSC UP Assistant Teacher (Primary) Recruitment 2026</t>
  </si>
  <si>
    <t>UP Education Service Selection Commission (UPESSC)</t>
  </si>
  <si>
    <t>05/2026</t>
  </si>
  <si>
    <t>28 Oct 2026</t>
  </si>
  <si>
    <t>16 Sep 2026</t>
  </si>
  <si>
    <t>04 Nov 2026</t>
  </si>
  <si>
    <t>03–04 Dec 2026</t>
  </si>
  <si>
    <t>Application starts: 16 Sep 2026
Last date: 2026-11-04
Fee last date: 04 Nov 2026
Exam: 03–04 Dec 2026</t>
  </si>
  <si>
    <t>General / OBC / EWS: ₹1,000
SC / ST: ₹500
PwBD: ₹300</t>
  </si>
  <si>
    <t>21 years</t>
  </si>
  <si>
    <t>40 years</t>
  </si>
  <si>
    <t>As on 01 Jul 2026</t>
  </si>
  <si>
    <t>Assistant Teacher – urban primary schools – 11508
Assistant Teacher – aided primary schools – 897</t>
  </si>
  <si>
    <t>Assistant Teacher – urban primary schools – Graduate + D.El.Ed/BTC or B.El.Ed
Assistant Teacher – aided primary schools – Graduate + D.El.Ed/BTC or B.El.Ed + Primary TET</t>
  </si>
  <si>
    <t>Urban: UR 4746 · OBC 3069 · EWS 1116 · SC 2379 · ST 198
Aided: UR 378 · OBC 164 · EWS 7 · SC 348</t>
  </si>
  <si>
    <t>Registration: https://apply.upessc.org/register
Date-extension notice (PDF): https://upessc.up.gov.in/Notice/4b1f-907a-4508-5c3a-0c65.pdf
UPESSC official website: https://upessc.up.gov.in/</t>
  </si>
  <si>
    <t>TNPSC Group IV (CCSE-IV) Recruitment 2026</t>
  </si>
  <si>
    <t>Tamil Nadu Public Service Commission (TNPSC)</t>
  </si>
  <si>
    <t>11/2026</t>
  </si>
  <si>
    <t>10 January 2027 (9:30 AM – 12:30 PM)</t>
  </si>
  <si>
    <t>Notification released: 06 October 2026
Apply online starts: 06 October 2026
Last date to apply: 05 November 2026
Correction window: 09 – 11 November 2026
Exam date: 10 January 2027 (9:30 AM – 12:30 PM)</t>
  </si>
  <si>
    <t>One-time registration: ₹150
Examination fee: ₹100 (exemptions as per rules)</t>
  </si>
  <si>
    <t>Varies by post — see notification</t>
  </si>
  <si>
    <t>As per TN government rules</t>
  </si>
  <si>
    <t>Junior Assistant (Non-Security) – 2600 – 2610
Typist – 2200 – 856
Junior Assistant (Accounts) – 3848 – 422
Typist – 4200 – 377
Village Administrative Officer – 2025 – 291
Typist – 3844 – 260
Junior Assistant (Non-Security) – 4600 – 252
Steno-Typist Gr III – 2300 – 209
Steno-Typist Gr III – 4300 – 145
Other posts (see notification) – 1152</t>
  </si>
  <si>
    <t>Most posts (VAO, Junior Assistant, Bill Collector) – SSLC / 10th pass
Typist / Steno posts – 10th pass + Government Technical Exam in typewriting / shorthand
Some posts – Degree or specific technical qualification — check post code</t>
  </si>
  <si>
    <t>Most posts: Level 8 / Level 10 (TN pay matrix) — varies by post</t>
  </si>
  <si>
    <t>Single OMR written exam
Certificate verification
Counselling</t>
  </si>
  <si>
    <t>Apply online: https://apply.tnpscexams.in/
TNPSC official website: https://tnpsc.gov.in/</t>
  </si>
  <si>
    <t>RRB NTPC Graduate Level Recruitment 2026</t>
  </si>
  <si>
    <t>Railway Recruitment Board (RRB)</t>
  </si>
  <si>
    <t>CEN 06/2026</t>
  </si>
  <si>
    <t>08 October 2026</t>
  </si>
  <si>
    <t>06 November 2026</t>
  </si>
  <si>
    <t>Notification released: 22 September 2026
Apply online starts: 08 October 2026
Last date to apply: 06 November 2026
Last date for fee payment: 06 November 2026
Exam date: To be announced</t>
  </si>
  <si>
    <t>General / OBC / EWS: ₹500 (₹400 refunded after CBT-1)
SC / ST / EBC / Female: ₹250 (refunded after CBT-1)</t>
  </si>
  <si>
    <t>33 years</t>
  </si>
  <si>
    <t>As per Railway rules</t>
  </si>
  <si>
    <t>NTPC Graduate Level posts (all) – 3477</t>
  </si>
  <si>
    <t>Chief Commercial cum Ticket Supervisor – Graduate (any discipline)
Station Master – Graduate (any discipline)
Goods Train Manager – Graduate (any discipline)
Junior Accounts Assistant cum Typist – Graduate + computer typing in English or Hindi
Senior Clerk cum Typist – Graduate + computer typing in English or Hindi
Traffic Assistant – Graduate (any discipline)</t>
  </si>
  <si>
    <t>Pay level: Level 5 and Level 6 (7th CPC)</t>
  </si>
  <si>
    <t>CBT-1
CBT-2
Typing / aptitude test (post-wise)
Document verification
Medical examination</t>
  </si>
  <si>
    <t>Apply online: https://www.rrbapply.gov.in/
Indian Railways official website: https://indianrailways.gov.in/</t>
  </si>
  <si>
    <t>RRC NWR Act Apprentice Recruitment 2026</t>
  </si>
  <si>
    <t>RRC North Western Railway, Jaipur</t>
  </si>
  <si>
    <t>04/2026 (NWR/AA)</t>
  </si>
  <si>
    <t>07 October 2026</t>
  </si>
  <si>
    <t>Notification released: 01 October 2026
Apply online starts: 07 October 2026
Last date to apply: 06 November 2026</t>
  </si>
  <si>
    <t>General / OBC / EWS: ₹100
SC / ST / PwBD / Women: No fee</t>
  </si>
  <si>
    <t>15 years</t>
  </si>
  <si>
    <t>24 years</t>
  </si>
  <si>
    <t>General – 845
OBC – 543
EWS – 182
SC – 295
ST – 143</t>
  </si>
  <si>
    <t>All trades – 10th pass with at least 50% marks + ITI in the relevant trade</t>
  </si>
  <si>
    <t>Stipend: As per Railway Board / Apprentices Act rules</t>
  </si>
  <si>
    <t>Merit list (no written exam)
Document verification</t>
  </si>
  <si>
    <t>Official notification (PDF): https://rrcjaipur.in/storeWebFiles/1005_12061494.PDF
RRC Jaipur official website / apply: https://www.rrcjaipur.in/</t>
  </si>
  <si>
    <t>NLC Apprentice Recruitment 2026</t>
  </si>
  <si>
    <t>NLC India Limited</t>
  </si>
  <si>
    <t>L&amp;DC/04/2026</t>
  </si>
  <si>
    <t>21 October 2026</t>
  </si>
  <si>
    <t>Notification released: 21 October 2026
Apply online starts: 21 October 2026
Last date to apply: 09 November 2026 (5 PM)
Selection list (trade): 23 November 2026 (tentative)
Selection list (graduate): 25 November 2026 (tentative)</t>
  </si>
  <si>
    <t>Application fee: Not mentioned in notification</t>
  </si>
  <si>
    <t>As per rules</t>
  </si>
  <si>
    <t>ITI Trade Apprentice (10 trades) – 700
Graduate (Non-Engg) Apprentice – 367</t>
  </si>
  <si>
    <t>Trade apprentice – ITI in the relevant trade
Graduate apprentice – Regular B.Com / BBA / B.Sc / BCA / B.Pharm / B.Sc Nursing passed 2022–2026</t>
  </si>
  <si>
    <t>Stipend: ₹12,000 – ₹16,678 per month (12 months training)</t>
  </si>
  <si>
    <t>Merit based on marks in the qualifying exam</t>
  </si>
  <si>
    <t>Apply online: https://web.nlcindia.in/ldcappexiti/
Official notification: https://www.nlcindia.in/nlcilapi/cmp/static/downloadfile/93369
NLC India official website: https://www.nlcindia.in/</t>
  </si>
  <si>
    <t>GSSSB Food Safety Officer Recruitment 2026</t>
  </si>
  <si>
    <t>Gujarat Subordinate Services Selection Board (GSSSB)</t>
  </si>
  <si>
    <t>465/202627</t>
  </si>
  <si>
    <t>27 October 2026</t>
  </si>
  <si>
    <t>Notification released: 27 October 2026
Apply online starts: 27 October 2026
Last date to apply: 10 November 2026
Exam date: To be announced</t>
  </si>
  <si>
    <t>Unreserved: ₹500
Reserved categories: ₹400</t>
  </si>
  <si>
    <t>37 years</t>
  </si>
  <si>
    <t>As per Gujarat government rules</t>
  </si>
  <si>
    <t>Unreserved – 40
EWS – 8
SEBC – 19
SC – 7
ST – 10</t>
  </si>
  <si>
    <t>Food Safety Officer (Class 3) – M.Sc Chemistry, or graduate in Food Tech / Dairy Tech / Biotech / Oil Tech / Agriculture / Veterinary / Biochemistry / Microbiology / Medicine
Also required – Basic computer knowledge + Gujarati and/or Hindi</t>
  </si>
  <si>
    <t>First 5 years: Fixed ₹40,800 per month
After 5 years: Level 5 — ₹29,200 – ₹92,300</t>
  </si>
  <si>
    <t>MCQ exam (CBRT / OMR)
Document verification
Merit list</t>
  </si>
  <si>
    <t>Apply online (OJAS): https://ojas.gujarat.gov.in/
GSSSB official website: https://gsssb.gujarat.gov.in/</t>
  </si>
  <si>
    <t>Indian Army 10+2 Technical Entry Scheme (TES-57) 2026</t>
  </si>
  <si>
    <t>TES-57, July 2027 batch</t>
  </si>
  <si>
    <t>14 October 2026</t>
  </si>
  <si>
    <t>Apply online starts: 14 October 2026
Last date to apply: 12 November 2026
SSB interview: As per Army schedule</t>
  </si>
  <si>
    <t>16 years 6 months</t>
  </si>
  <si>
    <t>19 years 6 months (as on 01 July 2027)</t>
  </si>
  <si>
    <t>Between 02 Jan 2008 and 01 Jan 2011 (check notice)</t>
  </si>
  <si>
    <t>TES-57 (men) – 90</t>
  </si>
  <si>
    <t>TES-57 – 12th with PCM, minimum 60% aggregate + JEE Main 2026 appeared</t>
  </si>
  <si>
    <t>During training: Stipend as per Army rules; commissioned as Lieutenant after training</t>
  </si>
  <si>
    <t>Shortlisting on JEE Main score
SSB interview
Medical examination
Merit list</t>
  </si>
  <si>
    <t>Apply online: https://joinindianarmy.nic.in/Authentication.aspx
Join Indian Army official website: https://joinindianarmy.nic.in/</t>
  </si>
  <si>
    <t>ISRO URSC Technician-B &amp; Driver Recruitment 2026</t>
  </si>
  <si>
    <t>ISRO U R Rao Satellite Centre (URSC)</t>
  </si>
  <si>
    <t>URSC:04:2026</t>
  </si>
  <si>
    <t>24 October 2026</t>
  </si>
  <si>
    <t>Notification released: 24 October 2026
Apply online starts: 24 October 2026
Last date to apply: 13 November 2026
Exam date: To be announced</t>
  </si>
  <si>
    <t>All candidates (pay first): ₹500
Refund – General / OBC / EWS: ₹400 after appearing in written test
Refund – Women / SC / ST / PwBD / ESM: Full ₹500 after appearing in written test</t>
  </si>
  <si>
    <t>35 years</t>
  </si>
  <si>
    <t>As per government rules</t>
  </si>
  <si>
    <t>Technician-B Electronics Mechanic – 24
Technician-B Fitter – 8
Technician-B Electrician – 4
Technician-B Refrigeration &amp; AC – 5
Technician-B Turner – 1
Technician-B Machinist – 2
Technician-B Motor Vehicle Mechanic – 1
Technician-B Electroplater – 1
Light Vehicle Driver-A – 3
Staff Car Driver-A – 2
Heavy Vehicle Driver-A – 10</t>
  </si>
  <si>
    <t>Technician-B – 10th pass + ITI/NTC/NAC (NCVT) in the trade
Light Vehicle / Staff Car Driver-A – 10th pass + LMV licence + 3 years driving experience
Heavy Vehicle Driver-A – 10th pass + HMV licence + 5 years driving (3 on heavy vehicles) + PSV badge where required</t>
  </si>
  <si>
    <t>Technician-B: Level 3 — basic pay ₹21,700
Drivers (LVD-A, Staff Car, HVD-A): Level 2 — basic pay ₹19,900</t>
  </si>
  <si>
    <t>Screening
Written test
Skill / driving test (qualifying)
Document verification</t>
  </si>
  <si>
    <t>Official notification (PDF): https://www.isro.gov.in/media_isro/pdf/recruitmentNotice/2026/Oct/URSClAdvt2410_24102026.pdf
ISRO official website: https://www.isro.gov.in/</t>
  </si>
  <si>
    <t>RRB NTPC 10+2 Under Graduate Level Recruitment 2026</t>
  </si>
  <si>
    <t>CEN 07/2026</t>
  </si>
  <si>
    <t>15 October 2026</t>
  </si>
  <si>
    <t>15 November 2026</t>
  </si>
  <si>
    <t>Notification released: 22 September 2026
Apply online starts: 15 October 2026
Last date to apply: 15 November 2026
Last date for fee payment: 15 November 2026
Exam date: To be announced</t>
  </si>
  <si>
    <t>30 years</t>
  </si>
  <si>
    <t>Commercial cum Ticket Clerk, Train Clerk, Accounts Clerk cum Typist, Junior Clerk cum Typist – 1688</t>
  </si>
  <si>
    <t>Commercial cum Ticket Clerk – 12th pass — 50% marks (Gen/OBC/EWS), pass for SC/ST/PwBD
Train Clerk – 12th pass — 50% marks (Gen/OBC/EWS), pass for SC/ST/PwBD
Accounts Clerk cum Typist – 12th pass + typing 30 wpm English or 25 wpm Hindi
Junior Clerk cum Typist – 12th pass + typing 30 wpm English or 25 wpm Hindi</t>
  </si>
  <si>
    <t>Pay level: Level 2 and Level 3 (7th CPC)</t>
  </si>
  <si>
    <t>CBT-1
CBT-2
Typing test (where required)
Document verification
Medical examination</t>
  </si>
  <si>
    <t>CWC Assistant Manager &amp; Junior Executive Recruitment 2026</t>
  </si>
  <si>
    <t>Central Warehousing Corporation (CWC)</t>
  </si>
  <si>
    <t>CWC/I-Manpower/DR/Rectt/2026/01</t>
  </si>
  <si>
    <t>17 October 2026</t>
  </si>
  <si>
    <t>Apply online starts: 17 October 2026
Last date to apply: 15 November 2026
Exam date: To be announced</t>
  </si>
  <si>
    <t>General / OBC / EWS: ₹1,350
SC / ST / PwBD / Female: ₹500</t>
  </si>
  <si>
    <t>28 years (as on 15 November 2026)</t>
  </si>
  <si>
    <t>Junior Executive (General) – 78
Junior Executive (Technical) – 78
Assistant Manager (General) – 70
Assistant Manager (Technical) – 68
Assistant Manager (Civil) – 22
Assistant Manager (Finance) – 10
Assistant Manager (Electrical) – 5
Assistant Manager (Mechanical) – 4</t>
  </si>
  <si>
    <t>AM (General) – 2-year PG degree / PG diploma
AM (Technical) – B.Tech in Agriculture / Food Tech / Biotech
AM (Finance) – B.Com + 3 yrs experience, or CA/CMA Inter
AM (Engineering) – B.E./B.Tech in Civil / Electrical / Mechanical
JE (General) – Graduate + computer knowledge
JE (Technical) – B.Sc in Agriculture / life sciences / Chemistry + computer knowledge</t>
  </si>
  <si>
    <t>Online exam
Document verification</t>
  </si>
  <si>
    <t>Official notification (PDF): https://cwceportal.com/Careers/Guidelines/45/45_Detailed%20Advertisement_7109fe46-7e18-4b68-84a5-8b6d6708e571.pdf
CWC careers (official website): https://cwceportal.com/careers</t>
  </si>
  <si>
    <t>Supreme Court Court Master (Shorthand) Recruitment 2026</t>
  </si>
  <si>
    <t>Supreme Court of India</t>
  </si>
  <si>
    <t>SCI Court Master 2026</t>
  </si>
  <si>
    <t>25 October 2026</t>
  </si>
  <si>
    <t>Apply online starts: 25 October 2026
Last date to apply: 15 November 2026
Exam date: To be announced</t>
  </si>
  <si>
    <t>General: ₹1,500
OBC / SC / ST / PwBD: ₹750</t>
  </si>
  <si>
    <t>45 years (as on 01 October 2026)</t>
  </si>
  <si>
    <t>Court Master (Shorthand) – 20</t>
  </si>
  <si>
    <t>Court Master – Graduate + English shorthand 120 wpm + typing 40 wpm + 5 years experience</t>
  </si>
  <si>
    <t>Written / skill test
Interview as per notice</t>
  </si>
  <si>
    <t>Official notification (PDF): https://cdnbbsr.s3waas.gov.in/s3ec0490f1f4972d133619a60c30f3559e/uploads/2026/10/2026101664.pdf
Supreme Court official website: https://www.sci.gov.in/</t>
  </si>
  <si>
    <t>BEL Probationary Engineer Recruitment 2026</t>
  </si>
  <si>
    <t>Bharat Electronics Limited (BEL)</t>
  </si>
  <si>
    <t>17556/HR/All-India/2026</t>
  </si>
  <si>
    <t>28 October 2026</t>
  </si>
  <si>
    <t>22 December 2026</t>
  </si>
  <si>
    <t>Notification released: 28 October 2026
Apply online starts: 28 October 2026
Last date to apply: 18 November 2026
Tentative CBT date: 22 December 2026</t>
  </si>
  <si>
    <t>General / EWS / OBC (NCL): ₹1,180 (incl. GST)
SC / ST / PwBD / Ex-Servicemen: No fee</t>
  </si>
  <si>
    <t>Probationary Engineer (Electronics) – 200
Probationary Engineer (Mechanical) – 150</t>
  </si>
  <si>
    <t>PE (Electronics) – BE/B.Tech/B.Sc Engg (4 yr) in Electronics, ECE, E&amp;T, Communication or Telecom
PE (Mechanical) – BE/B.Tech/B.Sc Engg (4 yr) in Mechanical
Minimum class – First class for Gen/OBC/EWS; pass class for SC/ST/PwBD</t>
  </si>
  <si>
    <t>Pay scale: ₹40,000 – ₹1,40,000</t>
  </si>
  <si>
    <t>Computer based test — 85% weight (125 questions, 2 hours, 0.25 negative marking)
Interview — 15% weight</t>
  </si>
  <si>
    <t>Official notification (PDF): https://bel-india.in/wp-content/uploads/2026/10/External-Ad-2026-English-1.pdf
BEL official website (apply link under Careers): https://bel-india.in/</t>
  </si>
  <si>
    <t>NPCIL Apprentice Recruitment 2026</t>
  </si>
  <si>
    <t>NPCIL Narora Atomic Power Station</t>
  </si>
  <si>
    <t>NAPS/HRM/APPRENTICE/02/2026</t>
  </si>
  <si>
    <t>29 October 2026</t>
  </si>
  <si>
    <t>Notification released: 27 October 2026
Apply online starts: 29 October 2026
Last date to apply: 18 November 2026</t>
  </si>
  <si>
    <t>Application fee: See official notification</t>
  </si>
  <si>
    <t>24 / 25 / 26 years (depends on apprentice type)</t>
  </si>
  <si>
    <t>18 November 2026</t>
  </si>
  <si>
    <t>Trade – Electrician – 25
Trade – Fitter – 16
Trade – Electronics Mechanic – 9
Diploma – Mechanical – 5
Diploma – Electrical – 3
Diploma – Electronics – 2
Diploma – Civil – 6
Graduate – Mechanical – 4
Graduate – Electrical – 3
Graduate – Human Resource – 3
Graduate – Finance &amp; Accounts – 2
Graduate – Contract &amp; Material Mgmt – 2</t>
  </si>
  <si>
    <t>Trade apprentice – ITI in the relevant trade
Diploma apprentice – Engineering diploma in the relevant branch
Graduate apprentice (Engg) – B.E./B.Tech in the relevant branch
Graduate apprentice (Non-Engg) – BBA / BA / B.Sc / B.Com as per discipline
Passing year – Qualifying exam passed within 5 years of 18 Nov 2026</t>
  </si>
  <si>
    <t>Trade apprentice (ITI): ₹10,560 – ₹11,040 per month
Diploma apprentice: ₹10,900 per month
Graduate apprentice: ₹12,300 per month</t>
  </si>
  <si>
    <t>Merit list based on marks in the qualifying exam</t>
  </si>
  <si>
    <t>NPCIL official website: https://www.npcil.nic.in/
Trade apprentice registration (apprenticeshipindia): https://www.apprenticeshipindia.gov.in/
Diploma / Graduate registration (NATS): https://www.nats.education.gov.in/</t>
  </si>
  <si>
    <t>BHEL Artisan Grade-IV Recruitment 2026</t>
  </si>
  <si>
    <t>Bharat Heavy Electricals Limited (BHEL)</t>
  </si>
  <si>
    <t>01/2026</t>
  </si>
  <si>
    <t>11 December 2026</t>
  </si>
  <si>
    <t>Apply online starts: 21 October 2026
Last date to apply: 18 November 2026
Exam date: 11 December 2026</t>
  </si>
  <si>
    <t>General / OBC / EWS: ₹1,072 (incl. processing fee + GST)
SC / ST / PwBD / Ex-Servicemen: ₹472</t>
  </si>
  <si>
    <t>27 years (as on 01 October 2026)</t>
  </si>
  <si>
    <t>As per BHEL rules</t>
  </si>
  <si>
    <t>Fitter – 278
Welder – 104
Machinist – 101
Electrician – 90
Turner – 52
Electronics Mechanic – 23
Foundryman – 12</t>
  </si>
  <si>
    <t>All trades – 10th pass + ITI in the trade — 60% marks (Gen/OBC), 55% (SC/ST)</t>
  </si>
  <si>
    <t>Computer based test
Skill test / document verification as per notice</t>
  </si>
  <si>
    <t>Official notification (PDF): https://careers.bhel.in/ar_2027/Artisan_Detailed%20AD.pdf
BHEL careers (official website): https://careers.bhel.in/index.jsp</t>
  </si>
  <si>
    <t>Dr RMLIMS Lucknow Non-Teaching Group B &amp; C Recruitment 2026</t>
  </si>
  <si>
    <t>Dr. Ram Manohar Lohia Institute of Medical Sciences, Lucknow</t>
  </si>
  <si>
    <t>78-83/Estb.-2/Rectt./Dr.RMLIMS/2026</t>
  </si>
  <si>
    <t>29 Oct 2026</t>
  </si>
  <si>
    <t>19 Oct 2026</t>
  </si>
  <si>
    <t>20 Nov 2026</t>
  </si>
  <si>
    <t>Application starts: 19 Oct 2026
Last date: 2026-11-20
Fee last date: 20 Nov 2026
Exam: To be announced</t>
  </si>
  <si>
    <t>General / OBC / EWS: ₹1,180 (incl. GST)
SC / ST: ₹708 (incl. GST)
PwBD: No fee</t>
  </si>
  <si>
    <t>Hospital Attendant Gr-II – 32
Stenographer – 30
Receptionist – 8
Programmer – 2
Medical Physicist – 1
Radiation Safety Officer – 1</t>
  </si>
  <si>
    <t>Hospital Attendant Gr-II – 10th pass
Stenographer – Graduate with 55% + shorthand &amp; typing test
Receptionist – Graduate + PG diploma in journalism / PR
Programmer – B.E./B.Tech CS or MCA
Medical Physicist – M.Sc Physics / radiological physics + internship
Radiation Safety Officer – See notification</t>
  </si>
  <si>
    <t>UR 32 · OBC 19 · EWS 7 · SC 15 · ST 1</t>
  </si>
  <si>
    <t>Recruitment page: https://www.drrmlims.ac.in/recruitment
Application notice (PDF): https://www.drrmlims.ac.in/Assets/pages/recruitment/Notice_807_Online_application_window_Advt_78_83_2026.pdf</t>
  </si>
  <si>
    <t>JRHMS Community Health Officer Recruitment 2026</t>
  </si>
  <si>
    <t>Jharkhand Rural Health Mission Society (JRHMS)</t>
  </si>
  <si>
    <t>05/2026/JRHM-CHO-Integrated</t>
  </si>
  <si>
    <t>31 October 2026</t>
  </si>
  <si>
    <t>Notification released: 28 October 2026
Apply online starts: 31 October 2026
Last date to apply: 22 November 2026
Exam date: To be announced</t>
  </si>
  <si>
    <t>Application fee: None (exam fee, if any, as per notice)</t>
  </si>
  <si>
    <t>As per Jharkhand government rules</t>
  </si>
  <si>
    <t>Community Health Officer – 1038</t>
  </si>
  <si>
    <t>Community Health Officer – B.Sc Nursing / Post Basic B.Sc Nursing with integrated CPCH (2016–2020 batch onwards)</t>
  </si>
  <si>
    <t>Monthly pay: ₹25,000 + performance incentive up to ₹15,000</t>
  </si>
  <si>
    <t>Online application
Eligibility and document verification
Selection as per NHM guidelines</t>
  </si>
  <si>
    <t>Official notification (PDF): https://jrhms.jharkhand.gov.in/uploads/reports/a06bf5c1-c60c-49f8-b1dd-d18759428df7.pdf
JRHMS official website / apply: https://jrhms.jharkhand.gov.in/</t>
  </si>
  <si>
    <t>UPESSC UP Headmaster Recruitment 2026</t>
  </si>
  <si>
    <t>09/2026</t>
  </si>
  <si>
    <t>22 Nov 2026</t>
  </si>
  <si>
    <t>07 Jan 2027</t>
  </si>
  <si>
    <t>Application starts: 23 Oct 2026
Last date: 2026-11-22
Fee last date: 22 Nov 2026
Exam: 07 Jan 2027</t>
  </si>
  <si>
    <t>All categories: ₹1,500</t>
  </si>
  <si>
    <t>62 years</t>
  </si>
  <si>
    <t>Headmaster (boys’ schools) – 1037
Headmaster (girls’ schools) – 135</t>
  </si>
  <si>
    <t>Headmaster (boys’ schools) – Master’s with 50% + B.Ed/B.P.Ed + 4 years teaching
Headmaster (girls’ schools) – Same as above (see notification)</t>
  </si>
  <si>
    <t>Apply online: https://apply.upessc.org/
UPESSC official website: https://upessc.up.gov.in/</t>
  </si>
  <si>
    <t>UPESSC UP Principal (Inter College) Recruitment 2026</t>
  </si>
  <si>
    <t>08/2026</t>
  </si>
  <si>
    <t>All categories: ₹2,000</t>
  </si>
  <si>
    <t>Principal (boys’ inter colleges) – 1318
Principal (girls’ inter colleges) – 157</t>
  </si>
  <si>
    <t>Principal (boys’ inter colleges) – Master’s with 50% + B.Ed + 4 years experience
Principal (girls’ inter colleges) – See notification</t>
  </si>
  <si>
    <t>UPESSC UP TGT Teacher Recruitment 2026</t>
  </si>
  <si>
    <t>07/2026</t>
  </si>
  <si>
    <t>23 – 24 December 2026</t>
  </si>
  <si>
    <t>Apply online starts: 24 October 2026
Last date to apply: 23 November 2026
Correction last date: 26 November 2026
Exam date: 23 – 24 December 2026</t>
  </si>
  <si>
    <t>62 years (as on 01 July 2026)</t>
  </si>
  <si>
    <t>Hindi – 2791
English – 2517
Science – 2493
Social Science – 2482
Mathematics – 2349
Sanskrit – 1289
Physical Education – 849
Home Science – 798
Drawing – 775
Biology – 660
Agriculture – 248
Commerce – 134
Other subjects (see notification) – 1350</t>
  </si>
  <si>
    <t>TGT (all subjects) – Graduate in the related subject + B.Ed; UP TET (Class 6–8) as per notification</t>
  </si>
  <si>
    <t>Pay: As per UP government TGT pay scale</t>
  </si>
  <si>
    <t>Written examination
Answer key and result
Document verification</t>
  </si>
  <si>
    <t>UPESSC official website / apply: https://upessc.up.gov.in/</t>
  </si>
  <si>
    <t>RRB Station Master Recruitment 2026</t>
  </si>
  <si>
    <t>CEN 08/2026</t>
  </si>
  <si>
    <t>27 November 2026</t>
  </si>
  <si>
    <t>Apply online starts: 27 October 2026
Last date to apply: 25 November 2026
Last date for fee payment: 27 November 2026
Correction window: 28 November – 07 December 2026
Exam date: To be announced</t>
  </si>
  <si>
    <t>General / OBC / EWS: ₹500 (₹400 refunded after Stage I)
SC / ST / PwBD / Female: ₹250 (refunded after Stage I)</t>
  </si>
  <si>
    <t>33 years (as on 01 July 2027)</t>
  </si>
  <si>
    <t>RRB Mumbai (CR) – 125
RRB Jammu-Srinagar (NR) – 122
RRB Chennai (SR) – 119
RRB Thiruvananthapuram (SR) – 114
RRB Prayagraj (NCR) – 104
RRB Bengaluru (SWR) – 102
RRB Secunderabad (SCoR) – 65
RRB Bilaspur (SECR) – 52
RRB Ajmer (NWR) – 49
RRB Bhopal (WCR) – 49
Other RRBs (see notification) – 364</t>
  </si>
  <si>
    <t>Station Master – Graduate in any stream</t>
  </si>
  <si>
    <t>Pay: As per 7th CPC — see notification</t>
  </si>
  <si>
    <t>CBT Stage I
CBT Stage II
Aptitude test
Document verification
Medical examination</t>
  </si>
  <si>
    <t>Apply online: https://www.rrbapply.gov.in/
RRB official website: https://rrb.indianrailways.gov.in/</t>
  </si>
  <si>
    <t>Supreme Court Junior Court Attendant Recruitment 2026</t>
  </si>
  <si>
    <t>15 Oct 2026</t>
  </si>
  <si>
    <t>25 Nov 2026</t>
  </si>
  <si>
    <t>Application starts: 04 Nov 2026
Last date: 2026-11-25
Fee last date: 25 Nov 2026
Exam: To be announced</t>
  </si>
  <si>
    <t>Online only</t>
  </si>
  <si>
    <t>Junior Court Attendant (Group C) – 130</t>
  </si>
  <si>
    <t>Junior Court Attendant (Group C) – 10th pass</t>
  </si>
  <si>
    <t>Notification (PDF): https://cdnbbsr.s3waas.gov.in/s3ec0490f1f4972d133619a60c30f3559e/uploads/2026/10/2026101560.pdf
Supreme Court official website: https://www.sci.gov.in/</t>
  </si>
  <si>
    <t>OPSC Scientific Officer Recruitment 2026</t>
  </si>
  <si>
    <t>Odisha Public Service Commission (OPSC)</t>
  </si>
  <si>
    <t>Advt No. 14 of 2026-27</t>
  </si>
  <si>
    <t>Notification released: 28 October 2026
Apply online starts: 06 November 2026
Last date to apply: 26 November 2026
Exam date: To be announced</t>
  </si>
  <si>
    <t>General / others: ₹700
SC / ST / PwD: See notification</t>
  </si>
  <si>
    <t>42 years</t>
  </si>
  <si>
    <t>As per Odisha government rules</t>
  </si>
  <si>
    <t>Physics – 7
Ballistics – 6
Chemistry – 10
Toxicology – 13
Biology – 14
Serology – 4
DNA – 12
Forensic Psychology – 6
Cyber Forensic – 11
Document – 6</t>
  </si>
  <si>
    <t>All divisions – Master’s degree in the relevant subject + ability to read, write and speak Odia</t>
  </si>
  <si>
    <t>Pay: Level 10, Cell 1 — ₹44,900</t>
  </si>
  <si>
    <t>Paper I — 100 marks (English, GK, reasoning)
Paper II — 300 marks (subject)
Viva voce — 50 marks
Negative marking: 25% per wrong answer</t>
  </si>
  <si>
    <t>OPSC official website / apply: https://www.opsc.gov.in/</t>
  </si>
  <si>
    <t>UPPSC RO / ARO Recruitment 2026</t>
  </si>
  <si>
    <t>Uttar Pradesh Public Service Commission (UPPSC)</t>
  </si>
  <si>
    <t>RO/ARO 2026</t>
  </si>
  <si>
    <t>26 October 2026</t>
  </si>
  <si>
    <t>Apply online starts: 26 October 2026
Last date to apply: 26 November 2026
Correction date: 03 December 2026
Exam date: To be announced</t>
  </si>
  <si>
    <t>General / OBC / EWS: ₹125
SC / ST: ₹65
PwBD: ₹25</t>
  </si>
  <si>
    <t>40 years (as on 01 July 2026)</t>
  </si>
  <si>
    <t>Assistant Review Officer, UP Secretariat – 261
Review Officer, UP Secretariat – 122
Assistant Review Officer, Advocate General Office – 45
Review Officer (Accounts), UP Secretariat – 31
Assistant Review Officer, UPPSC – 21
Other RO / ARO posts – See notification (total 501)</t>
  </si>
  <si>
    <t>Review Officer – Graduate in any stream
Review Officer (Accounts) – B.Com + DOEACC O Level
Assistant Review Officer – Graduate + O Level + Hindi typing 25 wpm</t>
  </si>
  <si>
    <t>Prelims exam
Mains exam
Typing test (ARO)
Document verification</t>
  </si>
  <si>
    <t>Apply online (UPPSC notifications): https://uppsc.up.nic.in/CandidatePages/Notifications.aspx
UPPSC official website: https://uppsc.up.nic.in/</t>
  </si>
  <si>
    <t>UPSSSC Lower Subordinate (Inter Level) Mains Recruitment 2026</t>
  </si>
  <si>
    <t>UP Subordinate Services Selection Commission (UPSSSC)</t>
  </si>
  <si>
    <t>26-Exam/2026</t>
  </si>
  <si>
    <t>16 Oct 2026</t>
  </si>
  <si>
    <t>10 Nov 2026</t>
  </si>
  <si>
    <t>01 Dec 2026</t>
  </si>
  <si>
    <t>Application starts: 10 Nov 2026
Last date: 2026-12-01
Fee last date: 01 Dec 2026
Exam: To be announced</t>
  </si>
  <si>
    <t>All categories: ₹25</t>
  </si>
  <si>
    <t>Valid UPSSSC PET score required</t>
  </si>
  <si>
    <t>Village Development Officer (Social Welfare) – 525
Village Development Officer – 508
Commercial Tax Collection Amin – 235
Land Amin – 187
Social Welfare Supervisor – 137
Storekeeper &amp; Clerk – 118
Cooperative Agriculture Supervisor – 50
Tabulator – 14
House Mother – 5
Other posts – 5</t>
  </si>
  <si>
    <t>Village Development Officer (Social Welfare) – 12th pass
Village Development Officer – 12th pass
Commercial Tax Collection Amin – 12th pass
Land Amin – 12th pass
Social Welfare Supervisor – 12th pass
Storekeeper &amp; Clerk – 12th pass
Cooperative Agriculture Supervisor – 12th pass
Tabulator – 12th pass
House Mother – 12th pass
Other posts – 12th pass</t>
  </si>
  <si>
    <t>UR 840 · OBC 448 · EWS 144 · SC 326 · ST 26</t>
  </si>
  <si>
    <t>Notifications / apply: https://upsssc.gov.in/AllNotifications.aspx
UPSSSC official website: https://upsssc.gov.in/</t>
  </si>
  <si>
    <t>JKSSB Junior Engineer (Civil) Recruitment 2026</t>
  </si>
  <si>
    <t>J&amp;K Services Selection Board (JKSSB)</t>
  </si>
  <si>
    <t>11 of 2026</t>
  </si>
  <si>
    <t>30 November 2026</t>
  </si>
  <si>
    <t>Notification released: 23 October 2026
Apply online starts: 30 November 2026
Last date to apply: 31 December 2026
Exam date: To be announced</t>
  </si>
  <si>
    <t>Open merit / others: ₹600
SC / ST-1 / ST-2 / EWS / PwBD: ₹500</t>
  </si>
  <si>
    <t>As per J&amp;K rules</t>
  </si>
  <si>
    <t>Junior Engineer (Civil) – 458</t>
  </si>
  <si>
    <t>Junior Engineer (Civil) – 3-year Diploma in Civil Engg, or B.E./B.Tech Civil, or AMIE (A &amp; B)</t>
  </si>
  <si>
    <t>Pay: Level 6 — ₹35,400 – ₹1,12,400</t>
  </si>
  <si>
    <t>Objective written / OMR exam (English)
Document verification</t>
  </si>
  <si>
    <t>Official notification (PDF): https://jkssb.nic.in/Pdf/Advertisement_11OF2026_27102026.pdf
JKSSB official website / apply: https://www.jkssb.nic.in/</t>
  </si>
  <si>
    <t>Job</t>
  </si>
  <si>
    <t>Post / trade / subject</t>
  </si>
  <si>
    <t>Vacancies</t>
  </si>
  <si>
    <t>Eligibility (short)</t>
  </si>
  <si>
    <t>Civil / Building Construction</t>
  </si>
  <si>
    <t>B.E./B.Tech in branch (final-year can apply)</t>
  </si>
  <si>
    <t>Computer Science / IT / M.Sc CS</t>
  </si>
  <si>
    <t>B.E./B.Tech or M.Sc in branch</t>
  </si>
  <si>
    <t>Mechanical / Production / Automobile</t>
  </si>
  <si>
    <t>B.E./B.Tech in branch</t>
  </si>
  <si>
    <t>Electronics &amp; Telecom</t>
  </si>
  <si>
    <t>Electrical / EEE</t>
  </si>
  <si>
    <t>Misc. engineering streams</t>
  </si>
  <si>
    <t>JRF / Assistant Professor / PhD admission</t>
  </si>
  <si>
    <t>—</t>
  </si>
  <si>
    <t>Master’s degree with 55% (50% for reserved)</t>
  </si>
  <si>
    <t>Apprentice</t>
  </si>
  <si>
    <t>Graduate in any stream</t>
  </si>
  <si>
    <t>Primary teacher (Class 1–5)</t>
  </si>
  <si>
    <t>12th + D.El.Ed/B.El.Ed + STET/CTET Paper I</t>
  </si>
  <si>
    <t>Middle school teacher (Class 6–8)</t>
  </si>
  <si>
    <t>Graduate + D.El.Ed/B.Ed + CTET/STET Paper II</t>
  </si>
  <si>
    <t>Secondary teacher (Class 9–10)</t>
  </si>
  <si>
    <t>Graduate/PG in subject + B.Ed + STET</t>
  </si>
  <si>
    <t>Senior secondary teacher (Class 11–12)</t>
  </si>
  <si>
    <t>PG in subject + B.Ed + STET</t>
  </si>
  <si>
    <t>Personal Assistant (District Courts)</t>
  </si>
  <si>
    <t>See Eligibility column on Latest Jobs</t>
  </si>
  <si>
    <t>Junior Judicial Assistant (District Courts)</t>
  </si>
  <si>
    <t>Peon / Orderly / Dak Peon (District Courts)</t>
  </si>
  <si>
    <t>Process Server (District Courts)</t>
  </si>
  <si>
    <t>Senior Personal Assistant (District Courts)</t>
  </si>
  <si>
    <t>Junior Judicial Assistant (Family Courts)</t>
  </si>
  <si>
    <t>Personal Assistant (Family Courts)</t>
  </si>
  <si>
    <t>Peon / Orderly (Family Courts)</t>
  </si>
  <si>
    <t>Process Server (Family Courts)</t>
  </si>
  <si>
    <t>Assistant Teacher – urban primary schools</t>
  </si>
  <si>
    <t>Graduate + D.El.Ed/BTC or B.El.Ed</t>
  </si>
  <si>
    <t>Assistant Teacher – aided primary schools</t>
  </si>
  <si>
    <t>Graduate + D.El.Ed/BTC or B.El.Ed + Primary TET</t>
  </si>
  <si>
    <t>Junior Assistant (Non-Security) – 2600</t>
  </si>
  <si>
    <t>Typist – 2200</t>
  </si>
  <si>
    <t>Junior Assistant (Accounts) – 3848</t>
  </si>
  <si>
    <t>Typist – 4200</t>
  </si>
  <si>
    <t>Village Administrative Officer – 2025</t>
  </si>
  <si>
    <t>Typist – 3844</t>
  </si>
  <si>
    <t>Junior Assistant (Non-Security) – 4600</t>
  </si>
  <si>
    <t>Steno-Typist Gr III – 2300</t>
  </si>
  <si>
    <t>Steno-Typist Gr III – 4300</t>
  </si>
  <si>
    <t>Other posts (see notification)</t>
  </si>
  <si>
    <t>NTPC Graduate Level posts (all)</t>
  </si>
  <si>
    <t>General</t>
  </si>
  <si>
    <t>10th pass with at least 50% marks + ITI in the relevant trade</t>
  </si>
  <si>
    <t>OBC</t>
  </si>
  <si>
    <t>EWS</t>
  </si>
  <si>
    <t>SC</t>
  </si>
  <si>
    <t>ST</t>
  </si>
  <si>
    <t>ITI Trade Apprentice (10 trades)</t>
  </si>
  <si>
    <t>Graduate (Non-Engg) Apprentice</t>
  </si>
  <si>
    <t>Unreserved</t>
  </si>
  <si>
    <t>SEBC</t>
  </si>
  <si>
    <t>TES-57 (men)</t>
  </si>
  <si>
    <t>12th with PCM, minimum 60% aggregate + JEE Main 2026 appeared</t>
  </si>
  <si>
    <t>Technician-B Electronics Mechanic</t>
  </si>
  <si>
    <t>Technician-B Fitter</t>
  </si>
  <si>
    <t>Technician-B Electrician</t>
  </si>
  <si>
    <t>Technician-B Refrigeration &amp; AC</t>
  </si>
  <si>
    <t>Technician-B Turner</t>
  </si>
  <si>
    <t>Technician-B Machinist</t>
  </si>
  <si>
    <t>Technician-B Motor Vehicle Mechanic</t>
  </si>
  <si>
    <t>Technician-B Electroplater</t>
  </si>
  <si>
    <t>Light Vehicle Driver-A</t>
  </si>
  <si>
    <t>Staff Car Driver-A</t>
  </si>
  <si>
    <t>Heavy Vehicle Driver-A</t>
  </si>
  <si>
    <t>10th pass + HMV licence + 5 years driving (3 on heavy vehicles) + PSV badge where required</t>
  </si>
  <si>
    <t>Commercial cum Ticket Clerk, Train Clerk, Accounts Clerk cum Typist, Junior Clerk cum Typist</t>
  </si>
  <si>
    <t>Junior Executive (General)</t>
  </si>
  <si>
    <t>Junior Executive (Technical)</t>
  </si>
  <si>
    <t>Assistant Manager (General)</t>
  </si>
  <si>
    <t>Assistant Manager (Technical)</t>
  </si>
  <si>
    <t>Assistant Manager (Civil)</t>
  </si>
  <si>
    <t>Assistant Manager (Finance)</t>
  </si>
  <si>
    <t>Assistant Manager (Electrical)</t>
  </si>
  <si>
    <t>Assistant Manager (Mechanical)</t>
  </si>
  <si>
    <t>Court Master (Shorthand)</t>
  </si>
  <si>
    <t>Graduate + English shorthand 120 wpm + typing 40 wpm + 5 years experience</t>
  </si>
  <si>
    <t>Probationary Engineer (Electronics)</t>
  </si>
  <si>
    <t>Probationary Engineer (Mechanical)</t>
  </si>
  <si>
    <t>Trade – Electrician</t>
  </si>
  <si>
    <t>Trade – Fitter</t>
  </si>
  <si>
    <t>Trade – Electronics Mechanic</t>
  </si>
  <si>
    <t>Diploma – Mechanical</t>
  </si>
  <si>
    <t>Diploma – Electrical</t>
  </si>
  <si>
    <t>Diploma – Electronics</t>
  </si>
  <si>
    <t>Diploma – Civil</t>
  </si>
  <si>
    <t>Graduate – Mechanical</t>
  </si>
  <si>
    <t>Graduate – Electrical</t>
  </si>
  <si>
    <t>Graduate – Human Resource</t>
  </si>
  <si>
    <t>Graduate – Finance &amp; Accounts</t>
  </si>
  <si>
    <t>Graduate – Contract &amp; Material Mgmt</t>
  </si>
  <si>
    <t>Fitter</t>
  </si>
  <si>
    <t>10th pass + ITI in the trade — 60% marks (Gen/OBC), 55% (SC/ST)</t>
  </si>
  <si>
    <t>Welder</t>
  </si>
  <si>
    <t>Machinist</t>
  </si>
  <si>
    <t>Electrician</t>
  </si>
  <si>
    <t>Turner</t>
  </si>
  <si>
    <t>Electronics Mechanic</t>
  </si>
  <si>
    <t>Foundryman</t>
  </si>
  <si>
    <t>Hospital Attendant Gr-II</t>
  </si>
  <si>
    <t>10th pass</t>
  </si>
  <si>
    <t>Stenographer</t>
  </si>
  <si>
    <t>Graduate with 55% + shorthand &amp; typing test</t>
  </si>
  <si>
    <t>Receptionist</t>
  </si>
  <si>
    <t>Graduate + PG diploma in journalism / PR</t>
  </si>
  <si>
    <t>Programmer</t>
  </si>
  <si>
    <t>B.E./B.Tech CS or MCA</t>
  </si>
  <si>
    <t>Medical Physicist</t>
  </si>
  <si>
    <t>M.Sc Physics / radiological physics + internship</t>
  </si>
  <si>
    <t>Radiation Safety Officer</t>
  </si>
  <si>
    <t>See notification</t>
  </si>
  <si>
    <t>Community Health Officer</t>
  </si>
  <si>
    <t>B.Sc Nursing / Post Basic B.Sc Nursing with integrated CPCH (2016–2020 batch onwards)</t>
  </si>
  <si>
    <t>Headmaster (boys’ schools)</t>
  </si>
  <si>
    <t>Master’s with 50% + B.Ed/B.P.Ed + 4 years teaching</t>
  </si>
  <si>
    <t>Headmaster (girls’ schools)</t>
  </si>
  <si>
    <t>Same as above (see notification)</t>
  </si>
  <si>
    <t>Principal (boys’ inter colleges)</t>
  </si>
  <si>
    <t>Master’s with 50% + B.Ed + 4 years experience</t>
  </si>
  <si>
    <t>Principal (girls’ inter colleges)</t>
  </si>
  <si>
    <t>Hindi</t>
  </si>
  <si>
    <t>Graduate in the related subject + B.Ed; UP TET (Class 6–8) as per notification</t>
  </si>
  <si>
    <t>English</t>
  </si>
  <si>
    <t>Science</t>
  </si>
  <si>
    <t>Social Science</t>
  </si>
  <si>
    <t>Mathematics</t>
  </si>
  <si>
    <t>Sanskrit</t>
  </si>
  <si>
    <t>Physical Education</t>
  </si>
  <si>
    <t>Home Science</t>
  </si>
  <si>
    <t>Drawing</t>
  </si>
  <si>
    <t>Biology</t>
  </si>
  <si>
    <t>Agriculture</t>
  </si>
  <si>
    <t>Commerce</t>
  </si>
  <si>
    <t>Other subjects (see notification)</t>
  </si>
  <si>
    <t>RRB Mumbai (CR)</t>
  </si>
  <si>
    <t>RRB Jammu-Srinagar (NR)</t>
  </si>
  <si>
    <t>RRB Chennai (SR)</t>
  </si>
  <si>
    <t>RRB Thiruvananthapuram (SR)</t>
  </si>
  <si>
    <t>RRB Prayagraj (NCR)</t>
  </si>
  <si>
    <t>RRB Bengaluru (SWR)</t>
  </si>
  <si>
    <t>RRB Secunderabad (SCoR)</t>
  </si>
  <si>
    <t>RRB Bilaspur (SECR)</t>
  </si>
  <si>
    <t>RRB Ajmer (NWR)</t>
  </si>
  <si>
    <t>RRB Bhopal (WCR)</t>
  </si>
  <si>
    <t>Other RRBs (see notification)</t>
  </si>
  <si>
    <t>Junior Court Attendant (Group C)</t>
  </si>
  <si>
    <t>Physics</t>
  </si>
  <si>
    <t>Master’s degree in the relevant subject + ability to read, write and speak Odia</t>
  </si>
  <si>
    <t>Ballistics</t>
  </si>
  <si>
    <t>Chemistry</t>
  </si>
  <si>
    <t>Toxicology</t>
  </si>
  <si>
    <t>Serology</t>
  </si>
  <si>
    <t>DNA</t>
  </si>
  <si>
    <t>Forensic Psychology</t>
  </si>
  <si>
    <t>Cyber Forensic</t>
  </si>
  <si>
    <t>Document</t>
  </si>
  <si>
    <t>Assistant Review Officer, UP Secretariat</t>
  </si>
  <si>
    <t>Review Officer, UP Secretariat</t>
  </si>
  <si>
    <t>Assistant Review Officer, Advocate General Office</t>
  </si>
  <si>
    <t>Review Officer (Accounts), UP Secretariat</t>
  </si>
  <si>
    <t>Assistant Review Officer, UPPSC</t>
  </si>
  <si>
    <t>Other RO / ARO posts</t>
  </si>
  <si>
    <t>See notification (total 501)</t>
  </si>
  <si>
    <t>Village Development Officer (Social Welfare)</t>
  </si>
  <si>
    <t>12th pass</t>
  </si>
  <si>
    <t>Village Development Officer</t>
  </si>
  <si>
    <t>Commercial Tax Collection Amin</t>
  </si>
  <si>
    <t>Land Amin</t>
  </si>
  <si>
    <t>Social Welfare Supervisor</t>
  </si>
  <si>
    <t>Storekeeper &amp; Clerk</t>
  </si>
  <si>
    <t>Cooperative Agriculture Supervisor</t>
  </si>
  <si>
    <t>Tabulator</t>
  </si>
  <si>
    <t>House Mother</t>
  </si>
  <si>
    <t>Other posts</t>
  </si>
  <si>
    <t>Junior Engineer (Civil)</t>
  </si>
  <si>
    <t>3-year Diploma in Civil Engg, or B.E./B.Tech Civil, or AMIE (A &amp; B)</t>
  </si>
  <si>
    <t>Title</t>
  </si>
  <si>
    <t>Key dates</t>
  </si>
  <si>
    <t>Login needed</t>
  </si>
  <si>
    <t>Next stages</t>
  </si>
  <si>
    <t>Fee</t>
  </si>
  <si>
    <t>Exam pattern</t>
  </si>
  <si>
    <t>Marking / notes</t>
  </si>
  <si>
    <t>Main topics</t>
  </si>
  <si>
    <t>SSC CGL Tier-I Admit Card 2026</t>
  </si>
  <si>
    <t>Staff Selection Commission (SSC)</t>
  </si>
  <si>
    <t>Tier-I exam city details: 21 September 2026
Admit card released: 27 September 2026
Tier-I exam: 30 September – 30 October 2026
Tier-II exam: December 2026 (tentative)</t>
  </si>
  <si>
    <t>Registration number / user ID
Password or date of birth</t>
  </si>
  <si>
    <t>SSC candidate login (admit card): https://ssc.gov.in/login
Tier-I exam city notice: https://ssc.gov.in/api/attachment/uploads/masterData/NoticeBoards/cgle_2026_city_live_21092026.pdf
Exam date notice: https://ssc.gov.in/api/attachment/uploads/masterData/NoticeBoards/Important%20Notice%202026_cgle_2026_12092026.pdf
SSC official website: https://ssc.gov.in/</t>
  </si>
  <si>
    <t>NVS JNVST Class 6 Admit Card 2027</t>
  </si>
  <si>
    <t>Navodaya Vidyalaya Samiti (NVS)</t>
  </si>
  <si>
    <t>Admit card released: 28 October 2026
Selection test date: 28 November 2026
Result: To be announced</t>
  </si>
  <si>
    <t>Registration number
Date of birth</t>
  </si>
  <si>
    <t>Selection test
Merit list
Document check and admission</t>
  </si>
  <si>
    <t>Download admit card: https://cbseitms.rcil.gov.in/nvs/AdminCard/Admit2027Card
Forgot registration number: https://cbseitms.rcil.gov.in/nvs/ChildernPrint/findRegistrationno
Prospectus (PDF): https://cbseitms.rcil.gov.in/nvs/assets/pdf/Final_Prospectus_2027.pdf
NVS admission portal: https://cbseitms.rcil.gov.in/nvs/</t>
  </si>
  <si>
    <t>Bank of Baroda Specialist Officer (SO) Admit Card 2026</t>
  </si>
  <si>
    <t>Bank of Baroda</t>
  </si>
  <si>
    <t>BOB/HRM/REC/ADVT/2026/15</t>
  </si>
  <si>
    <t>Admit card released: 24 October 2026
Online exam: 01 November 2026
Result: To be announced</t>
  </si>
  <si>
    <t>Registration / roll number
Password or date of birth</t>
  </si>
  <si>
    <t>Online test
Psychometric test / personal interview
Final merit list</t>
  </si>
  <si>
    <t>Call letter notice (PDF): https://bankofbaroda.bank.in/-/media/Project/BOB/CountryWebsites/India/Career/2026/26-10/Online-Examination-Digital-23-34.pdf
Exam date notice (PDF): https://bankofbaroda.bank.in/-/media/Project/BOB/CountryWebsites/India/Career/2026/26-10/Notification-for-Online-Examination-Digital-19-20.pdf
Bank of Baroda careers: https://bankofbaroda.bank.in/career/current-opportunities</t>
  </si>
  <si>
    <t>AAI Junior Executive &amp; Manager Admit Card 2026</t>
  </si>
  <si>
    <t>Airports Authority of India (AAI)</t>
  </si>
  <si>
    <t>12/2026/CHQ/DR-CBT</t>
  </si>
  <si>
    <t>Admit card released: 14 October 2026
Exam dates: 21 &amp; 26 October 2026
Result: To be announced</t>
  </si>
  <si>
    <t>Registration number
Date of birth / password</t>
  </si>
  <si>
    <t>Computer based test
Document verification
Further tests / interview as per post</t>
  </si>
  <si>
    <t>Exam notice (PDF): https://www.aai.aero/sites/default/files/examdashboard_pressnote/Exam%20Notice.pdf
AAI careers page: https://www.aai.aero/en/careers/recruitment</t>
  </si>
  <si>
    <t>SSC GD Constable Result 2026</t>
  </si>
  <si>
    <t>CBT exam: 27 April – 30 May 2026
Answer key: 15 June 2026
Result (qualified lists): 12 October 2026
PET / PST: To be announced by CAPF</t>
  </si>
  <si>
    <t>Roll number (to search the PDF list)</t>
  </si>
  <si>
    <t>Physical Efficiency Test (PET) &amp; Physical Standard Test (PST)
Document verification
Medical examination</t>
  </si>
  <si>
    <t>Result list (PDF): https://ssc.gov.in/api/attachment/uploads/masterData/Results/LIST2_12102026.pdf
Cut-off write-up (PDF): https://ssc.gov.in/api/attachment/uploads/masterData/NoticeBoards/writeup_12102026.pdf
SSC official website: https://ssc.gov.in/</t>
  </si>
  <si>
    <t>SBI PO Prelims Result 2026</t>
  </si>
  <si>
    <t>State Bank of India (SBI)</t>
  </si>
  <si>
    <t>CRPD/PO/2026-27/09</t>
  </si>
  <si>
    <t>Prelims exam: 02 August 2026
Prelims result: 28 August 2026
Mains exam: As per SBI notice</t>
  </si>
  <si>
    <t>Mains exam
Group exercise
Interview</t>
  </si>
  <si>
    <t>Prelims result (PDF): https://sbi.bank.in/webfiles/uploads/files_2627/08/SBIPO2026-Prelims-WTRESULT-15_columns.pdf
SBI careers – current openings: https://sbi.bank.in/web/careers/current-openings</t>
  </si>
  <si>
    <t>BPSC Assistant Section Officer (ASO) Mains Result 2026</t>
  </si>
  <si>
    <t>37/2025</t>
  </si>
  <si>
    <t>Prelims exam: 10 September 2025
Mains exam: 27 February 2026
Final answer key: 06 April 2026
Mains result: 27 October 2026</t>
  </si>
  <si>
    <t>Document verification
Final selection</t>
  </si>
  <si>
    <t>Mains result (PDF): https://bpsc.bihar.gov.in/wp-content/uploads/BPSC_content/Notices/Results-372025-ASO-BPSC-Main-Competitive-Examination_BPSC-20261027-pd94j7.pdf
BPSC official website: https://bpsc.bihar.gov.in/</t>
  </si>
  <si>
    <t>RRB Technician Answer Key 2026</t>
  </si>
  <si>
    <t>CEN 02/2026</t>
  </si>
  <si>
    <t>CBT exam: 06 – 09 October 2026
Answer key released: 15 October 2026
Objection window: As per RRB notice
Result: To be announced</t>
  </si>
  <si>
    <t>Grade I Signal – answer key notice: https://rrb.indianrailways.gov.in/-/image/1792060256462Notice_on_viewing_of_obj_tracker_Tech_Grade-I_Signal.pdf/examsDocuments
Grade III – answer key notice: https://rrb.indianrailways.gov.in/-/image/1792060491825Notice_on_viewing_of_obj_tracker__Tech_Grade_III.pdf/examsDocuments
RRB candidate portal: https://www.rrbapply.gov.in/</t>
  </si>
  <si>
    <t>RRB Section Controller Answer Key 2026</t>
  </si>
  <si>
    <t>CEN 03/2026</t>
  </si>
  <si>
    <t>CBT exam: 12 – 13 October 2026
Answer key released: 16 October 2026
Objection window: As per RRB notice
Result: To be announced</t>
  </si>
  <si>
    <t>Objection tracker notice (PDF): https://rrb.indianrailways.gov.in/-/image/1792070657420English_CEN_03_2026_Section_Controller_Objection_Tracker_notice_15.10.2026.pdf/examsDocuments
RRB official website: https://rrb.indianrailways.gov.in/</t>
  </si>
  <si>
    <t>SSC Stenographer Grade C &amp; D Answer Key 2026</t>
  </si>
  <si>
    <t>Exam dates: 09 – 15 September 2026
Answer key released: 23 September 2026
Result: To be announced</t>
  </si>
  <si>
    <t>Registration number / user ID
Password</t>
  </si>
  <si>
    <t>Answer key notice (PDF): https://ssc.gov.in/api/attachment/uploads/masterData/NoticeBoards/Approved_WriteUp_23092026.pdf
SSC candidate login: https://ssc.gov.in/login</t>
  </si>
  <si>
    <t>CLAT 2027 Online Form (UG &amp; PG)</t>
  </si>
  <si>
    <t>Consortium of National Law Universities</t>
  </si>
  <si>
    <t>Application starts: 03 August 2026
Last date to apply: 31 October 2026
Exam date: 06 December 2026</t>
  </si>
  <si>
    <t>General / OBC / others: ₹4,000
SC / ST / BPL: ₹3,500</t>
  </si>
  <si>
    <t>UG (5-year LLB) – 12th pass with 45% (40% for SC/ST); appearing students can apply
PG (LLM) – LLB with 55% (50% for SC/ST); final-year students can apply</t>
  </si>
  <si>
    <t>Apply online: https://clat2027.consortiumofnlus.ac.in/clat-2027/
Consortium official website: https://consortiumofnlus.ac.in/</t>
  </si>
  <si>
    <t>SSC MTS Syllabus &amp; Exam Pattern</t>
  </si>
  <si>
    <t>Session | Subject | Questions | Marks
Session 1 (45 min) | Numerical &amp; Mathematical Ability | 20 | 60
Session 1 | Reasoning Ability &amp; Problem Solving | 20 | 60
Session 2 (45 min) | General Awareness | 25 | 75
Session 2 | English Language &amp; Comprehension | 25 | 75</t>
  </si>
  <si>
    <t>No negative marking in Session 1
Session 2: 1 mark deducted for each wrong answer</t>
  </si>
  <si>
    <t>Maths: Number system, simplification, percentage, ratio &amp; proportion, average, interest, profit &amp; loss, time-speed-distance
Reasoning: Analogy, classification, coding-decoding, series, Venn diagrams, blood relations, puzzles
General Awareness: Static GK, general science, current affairs, important days, awards
English: Comprehension, error spotting, fill in the blanks, synonyms &amp; antonyms, idioms, one-word substitution</t>
  </si>
  <si>
    <t>SSC official website: https://ssc.gov.in/</t>
  </si>
  <si>
    <t>RRB Technician Syllabus &amp; Exam Pattern</t>
  </si>
  <si>
    <t>Grade | Subject | Questions | Marks
Gr-I Signal (90 min) | General Awareness | 10 | 10
Gr-I Signal | General Intelligence &amp; Reasoning | 15 | 15
Gr-I Signal | Basics of Computers &amp; Applications | 20 | 20
Gr-I Signal | Mathematics | 20 | 20
Gr-I Signal | Basic Science &amp; Engineering | 35 | 35
Gr-III (90 min) | Mathematics | 25 | 25
Gr-III | General Intelligence &amp; Reasoning | 25 | 25
Gr-III | General Science | 40 | 40
Gr-III | General Awareness | 10 | 10</t>
  </si>
  <si>
    <t>1/3 mark deducted for every wrong answer
PwBD candidates get 30 extra minutes</t>
  </si>
  <si>
    <t>Mathematics: Number system, fractions, LCM/HCF, percentage, mensuration, time &amp; work, algebra, geometry, trigonometry
Reasoning: Analogy, series, coding-decoding, syllogism, Venn diagrams, directions
General Science: Units, work-power-energy, heat, electricity, simple machines
Computers (Gr-I): Hardware, operating systems, networking, internet, data representation</t>
  </si>
  <si>
    <t>RRB candidate portal: https://www.rrbapply.gov.in/
Indian Railways official website: https://indianrailways.gov.in/</t>
  </si>
  <si>
    <t>CTET Paper I &amp; II Syllabus &amp; Exam Pattern</t>
  </si>
  <si>
    <t>CBSE</t>
  </si>
  <si>
    <t>Paper | Sections | Questions | Marks
Paper I (Class 1–5), 2.5 hrs | Child Development &amp; Pedagogy, Language I, Language II, Mathematics, EVS | 150 | 150
Paper II (Class 6–8), 2.5 hrs | Child Development &amp; Pedagogy, Language I, Language II, Maths &amp; Science or Social Studies | 150 | 150</t>
  </si>
  <si>
    <t>Qualifying marks: 60% (General), 55% (reserved categories, as per bulletin)</t>
  </si>
  <si>
    <t>CTET official website: https://ctet.nic.in/</t>
  </si>
  <si>
    <t>SSC Junior Engineer (JE) Exam Date 2026</t>
  </si>
  <si>
    <t>Paper 1 (CBT): 02 – 06 November 2026
Paper 2: December 2026 (tentative)
Admit card: A few days before the exam</t>
  </si>
  <si>
    <t>Exam date notice (PDF): https://ssc.gov.in/api/attachment/uploads/masterData/NoticeBoards/Notice_01102026.pdf
SSC candidate login: https://ssc.gov.in/login</t>
  </si>
  <si>
    <t>CTET December 2026 Exam Date</t>
  </si>
  <si>
    <t>Exam dates: 12 – 13 December 2026
Admit card: A few days before the exam
Result: To be announced</t>
  </si>
  <si>
    <t>Exam date notice (PDF): https://cdnbbsr.s3waas.gov.in/s3443dec3062d0286986e21dc0631734c9/uploads/2026/09/20260914325514446.pdf
CTET official website: https://ctet.nic.in/</t>
  </si>
  <si>
    <t>UPSC Combined Geo-Scientist Exam Date 2027</t>
  </si>
  <si>
    <t>Union Public Service Commission (UPSC)</t>
  </si>
  <si>
    <t>Prelims exam: 10 January 2027
Mains exam: 19 – 20 June 2027
Admit card: About 2–3 weeks before each exam</t>
  </si>
  <si>
    <t>Notification (PDF): https://www.upsc.gov.in/sites/default/files/Notif-CGSPE-2027-Engl-020926.pdf
UPSC official website: https://www.upsc.gov.in/</t>
  </si>
  <si>
    <t>Section</t>
  </si>
  <si>
    <t>Post title</t>
  </si>
  <si>
    <t>Year</t>
  </si>
  <si>
    <t>Facts probably in this workbook? (auto-match)</t>
  </si>
  <si>
    <t>Official link (fill in)</t>
  </si>
  <si>
    <t>Notes</t>
  </si>
  <si>
    <t>Rajasthan RSSB Driver 2024 Result</t>
  </si>
  <si>
    <t>SSC CPO SI 2025 PET Result 2026</t>
  </si>
  <si>
    <t>Yes</t>
  </si>
  <si>
    <t>RPSC TGT Senior Teacher Gr II Result 2026</t>
  </si>
  <si>
    <t>UPPSC LT Grade Assistant Teacher 2025 Mains Result</t>
  </si>
  <si>
    <t>BPSC Assistant Section Officer ASO 2025 Mains Result</t>
  </si>
  <si>
    <t>UPSSSC Stenographer 2023 Skill Test Result 2026</t>
  </si>
  <si>
    <t>UPSSSC Stenographer 2024 Skill Test Result 2026</t>
  </si>
  <si>
    <t>UPSC CDS II Result 2026</t>
  </si>
  <si>
    <t>ISRO ICRB Assistant and Other Post Result 2026</t>
  </si>
  <si>
    <t>UP Police Home Guard Marks 2026</t>
  </si>
  <si>
    <t>Cotton Corporation of India CCI Various Post Result 2026</t>
  </si>
  <si>
    <t>SSC GD Constable Revised Result 2026</t>
  </si>
  <si>
    <t>IBPS SO 16th Pre Score Card 2026</t>
  </si>
  <si>
    <t>SBI Junior Associates Clerk Backlog Pre Result 2026</t>
  </si>
  <si>
    <t>SBI PO Mains Result 2026</t>
  </si>
  <si>
    <t>UP Police Constable Final Result 2026</t>
  </si>
  <si>
    <t>SSB Head Constable Ministerial 2020 Result / Marks 2026</t>
  </si>
  <si>
    <t>UPSC NDA II Written Exam Result 2026</t>
  </si>
  <si>
    <t>UPSC CAPF AC 2024 Marks 2026</t>
  </si>
  <si>
    <t>DSSSB Assistant Teacher Primary Result 2026</t>
  </si>
  <si>
    <t>UP Board Time Table 2027</t>
  </si>
  <si>
    <t>UPSSSC Moharir 2022 Eligibility Result 2026</t>
  </si>
  <si>
    <t>UPSSSC Cane Supervisor Eligibility Result 2026</t>
  </si>
  <si>
    <t>India Post GDS First Merit List 2026</t>
  </si>
  <si>
    <t>AIIMS NORCET 11th Stage II Result 2026</t>
  </si>
  <si>
    <t>CSBC Bihar Police Constable Special Branch Final Result 2026</t>
  </si>
  <si>
    <t>NICL Assistant Pre Result 2026</t>
  </si>
  <si>
    <t>RRB Ministerial and Isolated CEN 08/2025 Result</t>
  </si>
  <si>
    <t>SSC Stenographer 2025 Marks</t>
  </si>
  <si>
    <t>SSC CHSL 2025 Final Result</t>
  </si>
  <si>
    <t>SSC MTS Havaldar 2025 Additional Result</t>
  </si>
  <si>
    <t>UPSSSC Forest Guard 2023 PMT Result 2026</t>
  </si>
  <si>
    <t>Rajasthan RVUNL Various Post Exam Date 2026</t>
  </si>
  <si>
    <t>UPSSSC PET Admit Card 2026</t>
  </si>
  <si>
    <t>Jharkhand JAC JHTET Admit Card 2026</t>
  </si>
  <si>
    <t>NVS Class 6th Admit Card 2027</t>
  </si>
  <si>
    <t>CISF Constable / Fire Exam Date 2026</t>
  </si>
  <si>
    <t>SSC JE Paper I Exam City Details 2026</t>
  </si>
  <si>
    <t>MPESB MP Police SI Admit Card 2026</t>
  </si>
  <si>
    <t>Bank of Baroda SO Admit Card 2026</t>
  </si>
  <si>
    <t>RRB ALP CEN 01/2026 Exam City / Admit Card</t>
  </si>
  <si>
    <t>UPPSC Lecturer 2023 Exam City Details</t>
  </si>
  <si>
    <t>UPESSC UP Special TET Admit Card 2026</t>
  </si>
  <si>
    <t>Bihar STET Admit Card 2026</t>
  </si>
  <si>
    <t>RRB Junior Engineer Admit Card 2026</t>
  </si>
  <si>
    <t>NICL Assistant Mains Admit Card 2026</t>
  </si>
  <si>
    <t>IBPS SO 16th Admit Card 2026</t>
  </si>
  <si>
    <t>MPPSC ADPO Admit Card 2026</t>
  </si>
  <si>
    <t>RRB ALP CEN 01/2025 CBAT Exam City Details</t>
  </si>
  <si>
    <t>SBI Clerk Backlog Mains Admit Card 2026</t>
  </si>
  <si>
    <t>UIIC AO Admit Card 2026</t>
  </si>
  <si>
    <t>AAI Manager, Junior Executive Admit Card 2026</t>
  </si>
  <si>
    <t>Rajasthan High Court Stenographer Admit Card 2026</t>
  </si>
  <si>
    <t>Delhi High Court HJS Mains Admit Card 2026</t>
  </si>
  <si>
    <t>SSC CGL 2026 Tier I Admit Card</t>
  </si>
  <si>
    <t>BPSC 72 Pre Exam Postponed 2026</t>
  </si>
  <si>
    <t>UP Cooperative Bank Various Post Exam Date 2026</t>
  </si>
  <si>
    <t>RRB Section Controller Admit Card 2026</t>
  </si>
  <si>
    <t>SKAU Kurukshetra Non Teaching Clerk Admit Card 2026</t>
  </si>
  <si>
    <t>RRB Technician CEN 02/2026 Admit Card 2026</t>
  </si>
  <si>
    <t>IBPS Clerk 16th Admit Card 2026</t>
  </si>
  <si>
    <t>SSC CHSL Tier I Exam Date 2026</t>
  </si>
  <si>
    <t>SSC CPO SI 2026 Exam Date</t>
  </si>
  <si>
    <t>Dr RMLIMS Lucknow Non Teaching Various Post Online Form 2026</t>
  </si>
  <si>
    <t>ISRO URSC Technician and Driver Online Form 2026</t>
  </si>
  <si>
    <t>MPESB MP Police Constable Driver Online Form 2026</t>
  </si>
  <si>
    <t>UPESSC UP Primary Teacher (Super TET) Online Form 2026</t>
  </si>
  <si>
    <t>NTA UGC NET JRF December 2026 Online Form</t>
  </si>
  <si>
    <t>DSSSB Delhi District Courts Various Post Online Form 2026</t>
  </si>
  <si>
    <t>RRB NTPC Graduate Level Online Form 2026 (CEN 06/2026)</t>
  </si>
  <si>
    <t>RRB NTPC 10+2 Under Graduate Online Form 2026</t>
  </si>
  <si>
    <t>UPESSC UP TGT Online Form 2026</t>
  </si>
  <si>
    <t>Bihar School Librarian Eligibility Test SLET Online Form 2026</t>
  </si>
  <si>
    <t>UPPSC RO / ARO Online Form 2026</t>
  </si>
  <si>
    <t>Bihar BPSC School Teacher TRE 4 Online Form 2026</t>
  </si>
  <si>
    <t>RRB Station Master Online Form 2026</t>
  </si>
  <si>
    <t>UPESSC UP Headmaster Online Form 2026</t>
  </si>
  <si>
    <t>LIC HFL Apprentice Online Form 2026</t>
  </si>
  <si>
    <t>UPESSC UP Principal Inter Level Online Form 2026</t>
  </si>
  <si>
    <t>NWR RRC Jaipur Apprentices Online Form 2026</t>
  </si>
  <si>
    <t>BHEL Artisan Various Trade Online Form 2026</t>
  </si>
  <si>
    <t>UPSSSC Physical Instructor &amp; Other Post Online Form 2026</t>
  </si>
  <si>
    <t>Supreme Court of India Court Master Online Form 2026</t>
  </si>
  <si>
    <t>ICSIL Data Entry Operator Online Form 2026</t>
  </si>
  <si>
    <t>CWC Assistant Manager and Junior Executive Online Form 2026</t>
  </si>
  <si>
    <t>UPSSSC 10+2 Inter Level Various Post Online Form 2026</t>
  </si>
  <si>
    <t>Supreme Court of India Junior Court Attendant Online Form 2026</t>
  </si>
  <si>
    <t>Army 10+2 TES 57th Online Form 2026</t>
  </si>
  <si>
    <t>UP Anganwadi Worker Bharti Online Form 2026</t>
  </si>
  <si>
    <t>Supreme Court of India Senior Personal Assistant Online Form 2026</t>
  </si>
  <si>
    <t>Delhi DSSSB Sweeper, Safai Karamchari, Chowkidar Online Form 2026</t>
  </si>
  <si>
    <t>UPSSSC Combined JE (Electrical) Online Form 2026</t>
  </si>
  <si>
    <t>UPSSSC Combined JE (Mechanical) Online Form 2026</t>
  </si>
  <si>
    <t>NTA CSIR UGC NET December 2026 Online Form</t>
  </si>
  <si>
    <t>Army TGC 145 Online Form 2026</t>
  </si>
  <si>
    <t>ISRO ICRB Scientist Engineer Revised Answer Key 2026</t>
  </si>
  <si>
    <t>RRB Technician CEN 02/2026 Answer Key 2026</t>
  </si>
  <si>
    <t>SSC Selection Post 14th Answer Key 2026</t>
  </si>
  <si>
    <t>MPESB Group 2 Sub Group 4 Patwari Answer Key 2026</t>
  </si>
  <si>
    <t>Rajasthan SET Answer Key 2026</t>
  </si>
  <si>
    <t>Uttarakhand UTET Answer Key 2026</t>
  </si>
  <si>
    <t>NBEMS Group A B C Various Post Answer Key 2026</t>
  </si>
  <si>
    <t>UPSSSC Forest Guard Mains Answer Key 2026</t>
  </si>
  <si>
    <t>UPSSSC Scientific and Lab Assistant Mains Answer Key 2026</t>
  </si>
  <si>
    <t>Air Force Agniveervayu Intake 02/2027 Answer Key 2026</t>
  </si>
  <si>
    <t>Air Force Medical Assistant INET 02/2027 Answer Key</t>
  </si>
  <si>
    <t>UPESSC UP Principal Answer Key 2026</t>
  </si>
  <si>
    <t>ISRO ICRB Assistant and Other Post Answer Key 2026</t>
  </si>
  <si>
    <t>RRB NTPC UG CBT II Answer Key 2026 (CEN 07/2025)</t>
  </si>
  <si>
    <t>Patna High Court Assistant Answer Key 2026</t>
  </si>
  <si>
    <t>SSC Stenographer 2026 Answer Key</t>
  </si>
  <si>
    <t>UPSSSC Pharmacist Ayurvedic 2024 Answer Key 2026</t>
  </si>
  <si>
    <t>UPSSSC Excise Constable Answer Key 2026</t>
  </si>
  <si>
    <t>SSC JHT Answer Key 2026</t>
  </si>
  <si>
    <t>BSF HC Ministerial and ASI Steno Answer Key 2026</t>
  </si>
  <si>
    <t>MPESB Krishi Vistar Adhikari Answer Key 2026</t>
  </si>
  <si>
    <t>NTA AIAPGET Final Answer Key 2026</t>
  </si>
  <si>
    <t>RSSB Computer Instructor Answer Key 2026</t>
  </si>
  <si>
    <t>UPSC CDS II Answer Key 2026</t>
  </si>
  <si>
    <t>UPSC NDA II Answer Key 2026</t>
  </si>
  <si>
    <t>UPSSSC Teacher Cadre JTC Revised Answer Key 2026</t>
  </si>
  <si>
    <t>UPSSSC Assistant Boring Technician Revised Answer Key 2026</t>
  </si>
  <si>
    <t>DSSSB MTS Answer Key 2026</t>
  </si>
  <si>
    <t>NTA UGC NET Re Exam Answer Key 2026</t>
  </si>
  <si>
    <t>RRB Group D Answer Key 2026 (CEN 09/2025)</t>
  </si>
  <si>
    <t>RPSC APO Answer Key 2026</t>
  </si>
  <si>
    <t>HTET OMR Sheet 2026</t>
  </si>
  <si>
    <t>BSNL JTO Answer Key 2026</t>
  </si>
  <si>
    <t>UP Assistant Teacher Primary Class 1 to 5 Syllabus 2026</t>
  </si>
  <si>
    <t>SSC CHSL Tier I, Tier II Syllabus 2026</t>
  </si>
  <si>
    <t>SSC JE 2026 Paper I &amp; II Syllabus</t>
  </si>
  <si>
    <t>UPESSC UP Super TET Syllabus 2026</t>
  </si>
  <si>
    <t>UPSSSC Veterinary Pharmacist Syllabus 2026</t>
  </si>
  <si>
    <t>UPSSSC Livestock Extension Officer Syllabus 2026</t>
  </si>
  <si>
    <t>UPSSSC Scientific / Lab Assistant Syllabus 2026</t>
  </si>
  <si>
    <t>UPESSC UP TGT, PGT Syllabus 2026</t>
  </si>
  <si>
    <t>UPSSSC PET 2026 Syllabus</t>
  </si>
  <si>
    <t>CLAT 2027 UG PG Syllabus</t>
  </si>
  <si>
    <t>UPESSC Principal Syllabus 2026</t>
  </si>
  <si>
    <t>UPSSSC Moharir 2022 Syllabus</t>
  </si>
  <si>
    <t>RSSB Graduate Level CET Syllabus 2026</t>
  </si>
  <si>
    <t>UPSSSC Pharmacist Ayurvedic 2024 Syllabus</t>
  </si>
  <si>
    <t>RSSB 10+2 CET Syllabus 2026</t>
  </si>
  <si>
    <t>UPSSSC Auditor and Assistant Accountant Syllabus 2026</t>
  </si>
  <si>
    <t>Allahabad High Court RO, ARO, Computer Assistant Syllabus 2026</t>
  </si>
  <si>
    <t>UPSSSC Vidhan Bhawan Guard / Fireman Syllabus 2026</t>
  </si>
  <si>
    <t>MPESB Nursing Officer, Sister Tutor Syllabus 2026</t>
  </si>
  <si>
    <t>Patna High Court Technical Assistant Syllabus 2026</t>
  </si>
  <si>
    <t>JHTET Syllabus 2026</t>
  </si>
  <si>
    <t>UPTET 2026 Syllabus</t>
  </si>
  <si>
    <t>AIBE 22nd Online Correction Form 2026</t>
  </si>
  <si>
    <t>NTA JEE Main 2027 Online Form</t>
  </si>
  <si>
    <t>UP Scholarship Online Form 2026</t>
  </si>
  <si>
    <t>NTA NIFT Admission Online Form 2027</t>
  </si>
  <si>
    <t>IIT GATE 2027 Online Form</t>
  </si>
  <si>
    <t>IIT JAM 2027 Online Form</t>
  </si>
  <si>
    <t>UPRTOU Ph.D Entrance Online Form 2026</t>
  </si>
  <si>
    <t>IIM CAT Admission Online Form 2026</t>
  </si>
  <si>
    <t>Bihar Library Eligibility Test BLET Online Form 2026</t>
  </si>
  <si>
    <t>NTA RIMC Class 8th Admission Online Form 2027</t>
  </si>
  <si>
    <t>Allahabad University PhD Admission Online Form 2026</t>
  </si>
  <si>
    <t>UP DELED Online Counselling 2026</t>
  </si>
  <si>
    <t>NVS Class 6th Admission Online Form 2027</t>
  </si>
  <si>
    <t>NEET UG 2026 Online Counselling</t>
  </si>
  <si>
    <t>SAV Jamui Bihar Class 6 Admission Online Form 2027</t>
  </si>
  <si>
    <t>UP ITI Admission Online Form 2026</t>
  </si>
  <si>
    <t>CLAT 2027 Admission Online Form</t>
  </si>
  <si>
    <t>UPTET 2026 Certificate Download</t>
  </si>
  <si>
    <t>UP DELED 2023 Certificate Download</t>
  </si>
  <si>
    <t>NTA CSIR UGC NET June 2026 E Certificate</t>
  </si>
  <si>
    <t>NTA UGC NET June 2026 E Certificate</t>
  </si>
  <si>
    <t>CSJMU Kanpur University Degree / Migration Certificate</t>
  </si>
  <si>
    <t>CCSU Meerut University Provisional &amp; Migration Certificate</t>
  </si>
  <si>
    <t>PRSU Prayagraj University Provisional &amp; Migration Certificate</t>
  </si>
  <si>
    <t>HTET 2024 Certificate Download</t>
  </si>
  <si>
    <t>CTET February 2026 Certificate Download</t>
  </si>
  <si>
    <t>NTA CSIR NET December 2025 E Certificate</t>
  </si>
  <si>
    <t>NTA UGC NET December 2025 E Certificate</t>
  </si>
  <si>
    <t>KGBV Lakhimpur Kheri Recruitment 2026</t>
  </si>
  <si>
    <t>UP Sewayojan Vibhag MTS Online Form 2026</t>
  </si>
  <si>
    <t>UP Kasganj ECCE Educator Online Form 2026</t>
  </si>
  <si>
    <t>UP Meerut ECCE Educator Online Form 2026</t>
  </si>
  <si>
    <t>UP Kushinagar ECCE Educator Online Form 2026</t>
  </si>
  <si>
    <t>UP Rampur ECCE Educator Online Form 2026</t>
  </si>
  <si>
    <t>UP Fatehpur ECCE Educator Online Form 2026</t>
  </si>
  <si>
    <t>UP Kanpur Nagar ECCE Educator Online Form 2026</t>
  </si>
  <si>
    <t>UP Hapur ECCE Educator Online Form 2026</t>
  </si>
  <si>
    <t>UP Mathura ECCE Educator Online Form 2026</t>
  </si>
  <si>
    <t>UP Jhansi ECCE Educator Online Form 2026</t>
  </si>
  <si>
    <t>Rajasthan Safai Karamchari Online Form 2026</t>
  </si>
  <si>
    <t>UP Nursing Council Registration Online Form 2026</t>
  </si>
  <si>
    <t>NIELIT CCC Exam Online Form 2026</t>
  </si>
  <si>
    <t>DSSSB E Dossier Form 2026</t>
  </si>
  <si>
    <t>UP Self Enumeration Online Registration 2026</t>
  </si>
  <si>
    <t>MP CPCT Online Form 2026</t>
  </si>
  <si>
    <t>SSC OTR One Time 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</si>
</sst>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u/>
      <sz val="10"/>
      <color rgb="FF0A5C8A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0B3D3A"/>
        <bgColor rgb="FF003300"/>
      </patternFill>
    </fill>
    <fill>
      <patternFill patternType="solid">
        <fgColor rgb="FFB45309"/>
        <bgColor rgb="FF993366"/>
      </patternFill>
    </fill>
    <fill>
      <patternFill patternType="solid">
        <fgColor rgb="FFFFF4CC"/>
        <bgColor rgb="FFFEE2E2"/>
      </patternFill>
    </fill>
  </fills>
  <borders count="2">
    <border>
      <left/>
      <right/>
      <top/>
      <bottom/>
      <diagonal/>
    </border>
    <border>
      <left style="thin">
        <color rgb="FFD9E3E0"/>
      </left>
      <right style="thin">
        <color rgb="FFD9E3E0"/>
      </right>
      <top style="thin">
        <color rgb="FFD9E3E0"/>
      </top>
      <bottom style="thin">
        <color rgb="FFD9E3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3" fontId="2" fillId="0" borderId="1" xfId="0" applyNumberFormat="1" applyFont="1" applyBorder="1"/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3">
    <dxf>
      <fill>
        <patternFill>
          <bgColor rgb="FFDCFCE7"/>
        </patternFill>
      </fill>
    </dxf>
    <dxf>
      <font>
        <b/>
        <color rgb="FF991B1B"/>
        <name val="Arial"/>
        <charset val="1"/>
      </font>
      <fill>
        <patternFill>
          <bgColor rgb="FFFEE2E2"/>
        </patternFill>
      </fill>
    </dxf>
    <dxf>
      <font>
        <b/>
        <color rgb="FF166534"/>
        <name val="Arial"/>
        <charset val="1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4CC"/>
      <rgbColor rgb="FFDCFCE7"/>
      <rgbColor rgb="FF660066"/>
      <rgbColor rgb="FFFF8080"/>
      <rgbColor rgb="FF0A5C8A"/>
      <rgbColor rgb="FFD9E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3D3A"/>
      <rgbColor rgb="FF339966"/>
      <rgbColor rgb="FF003300"/>
      <rgbColor rgb="FF333300"/>
      <rgbColor rgb="FF991B1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zoomScaleNormal="100" workbookViewId="0">
      <selection activeCell="E8" sqref="E8"/>
    </sheetView>
  </sheetViews>
  <sheetFormatPr defaultColWidth="8.6640625" defaultRowHeight="14.4" x14ac:dyDescent="0.3"/>
  <cols>
    <col min="1" max="1" width="34" customWidth="1"/>
    <col min="2" max="5" width="14" customWidth="1"/>
  </cols>
  <sheetData>
    <row r="1" spans="1:5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</row>
    <row r="2" spans="1:5" x14ac:dyDescent="0.3">
      <c r="A2" s="2" t="s">
        <v>6</v>
      </c>
      <c r="B2" s="2">
        <f>COUNTIF('All Posts – To Write'!$B$2:$B$198,A2)</f>
        <v>32</v>
      </c>
      <c r="C2" s="2">
        <f>COUNTIFS('All Posts – To Write'!$B$2:$B$198,A2,'All Posts – To Write'!$H$2:$H$198,"Done")</f>
        <v>0</v>
      </c>
      <c r="D2" s="2">
        <f>COUNTIFS('All Posts – To Write'!$B$2:$B$198,A2,'All Posts – To Write'!$H$2:$H$198,"Writing")</f>
        <v>0</v>
      </c>
      <c r="E2" s="2">
        <f>COUNTIFS('All Posts – To Write'!$B$2:$B$198,A2,'All Posts – To Write'!$H$2:$H$198,"To do")</f>
        <v>32</v>
      </c>
    </row>
    <row r="3" spans="1:5" x14ac:dyDescent="0.3">
      <c r="A3" s="2" t="s">
        <v>7</v>
      </c>
      <c r="B3" s="2">
        <f>COUNTIF('All Posts – To Write'!$B$2:$B$198,A3)</f>
        <v>32</v>
      </c>
      <c r="C3" s="2">
        <f>COUNTIFS('All Posts – To Write'!$B$2:$B$198,A3,'All Posts – To Write'!$H$2:$H$198,"Done")</f>
        <v>0</v>
      </c>
      <c r="D3" s="2">
        <f>COUNTIFS('All Posts – To Write'!$B$2:$B$198,A3,'All Posts – To Write'!$H$2:$H$198,"Writing")</f>
        <v>0</v>
      </c>
      <c r="E3" s="2">
        <f>COUNTIFS('All Posts – To Write'!$B$2:$B$198,A3,'All Posts – To Write'!$H$2:$H$198,"To do")</f>
        <v>32</v>
      </c>
    </row>
    <row r="4" spans="1:5" x14ac:dyDescent="0.3">
      <c r="A4" s="2" t="s">
        <v>8</v>
      </c>
      <c r="B4" s="2">
        <f>COUNTIF('All Posts – To Write'!$B$2:$B$198,A4)</f>
        <v>31</v>
      </c>
      <c r="C4" s="2">
        <f>COUNTIFS('All Posts – To Write'!$B$2:$B$198,A4,'All Posts – To Write'!$H$2:$H$198,"Done")</f>
        <v>0</v>
      </c>
      <c r="D4" s="2">
        <f>COUNTIFS('All Posts – To Write'!$B$2:$B$198,A4,'All Posts – To Write'!$H$2:$H$198,"Writing")</f>
        <v>0</v>
      </c>
      <c r="E4" s="2">
        <f>COUNTIFS('All Posts – To Write'!$B$2:$B$198,A4,'All Posts – To Write'!$H$2:$H$198,"To do")</f>
        <v>31</v>
      </c>
    </row>
    <row r="5" spans="1:5" x14ac:dyDescent="0.3">
      <c r="A5" s="2" t="s">
        <v>9</v>
      </c>
      <c r="B5" s="2">
        <f>COUNTIF('All Posts – To Write'!$B$2:$B$198,A5)</f>
        <v>34</v>
      </c>
      <c r="C5" s="2">
        <f>COUNTIFS('All Posts – To Write'!$B$2:$B$198,A5,'All Posts – To Write'!$H$2:$H$198,"Done")</f>
        <v>0</v>
      </c>
      <c r="D5" s="2">
        <f>COUNTIFS('All Posts – To Write'!$B$2:$B$198,A5,'All Posts – To Write'!$H$2:$H$198,"Writing")</f>
        <v>0</v>
      </c>
      <c r="E5" s="2">
        <f>COUNTIFS('All Posts – To Write'!$B$2:$B$198,A5,'All Posts – To Write'!$H$2:$H$198,"To do")</f>
        <v>34</v>
      </c>
    </row>
    <row r="6" spans="1:5" x14ac:dyDescent="0.3">
      <c r="A6" s="2" t="s">
        <v>10</v>
      </c>
      <c r="B6" s="2">
        <f>COUNTIF('All Posts – To Write'!$B$2:$B$198,A6)</f>
        <v>22</v>
      </c>
      <c r="C6" s="2">
        <f>COUNTIFS('All Posts – To Write'!$B$2:$B$198,A6,'All Posts – To Write'!$H$2:$H$198,"Done")</f>
        <v>0</v>
      </c>
      <c r="D6" s="2">
        <f>COUNTIFS('All Posts – To Write'!$B$2:$B$198,A6,'All Posts – To Write'!$H$2:$H$198,"Writing")</f>
        <v>0</v>
      </c>
      <c r="E6" s="2">
        <f>COUNTIFS('All Posts – To Write'!$B$2:$B$198,A6,'All Posts – To Write'!$H$2:$H$198,"To do")</f>
        <v>22</v>
      </c>
    </row>
    <row r="7" spans="1:5" x14ac:dyDescent="0.3">
      <c r="A7" s="2" t="s">
        <v>11</v>
      </c>
      <c r="B7" s="2">
        <f>COUNTIF('All Posts – To Write'!$B$2:$B$198,A7)</f>
        <v>17</v>
      </c>
      <c r="C7" s="2">
        <f>COUNTIFS('All Posts – To Write'!$B$2:$B$198,A7,'All Posts – To Write'!$H$2:$H$198,"Done")</f>
        <v>0</v>
      </c>
      <c r="D7" s="2">
        <f>COUNTIFS('All Posts – To Write'!$B$2:$B$198,A7,'All Posts – To Write'!$H$2:$H$198,"Writing")</f>
        <v>0</v>
      </c>
      <c r="E7" s="2">
        <f>COUNTIFS('All Posts – To Write'!$B$2:$B$198,A7,'All Posts – To Write'!$H$2:$H$198,"To do")</f>
        <v>17</v>
      </c>
    </row>
    <row r="8" spans="1:5" x14ac:dyDescent="0.3">
      <c r="A8" s="2" t="s">
        <v>12</v>
      </c>
      <c r="B8" s="2">
        <f>COUNTIF('All Posts – To Write'!$B$2:$B$198,A8)</f>
        <v>11</v>
      </c>
      <c r="C8" s="2">
        <f>COUNTIFS('All Posts – To Write'!$B$2:$B$198,A8,'All Posts – To Write'!$H$2:$H$198,"Done")</f>
        <v>0</v>
      </c>
      <c r="D8" s="2">
        <f>COUNTIFS('All Posts – To Write'!$B$2:$B$198,A8,'All Posts – To Write'!$H$2:$H$198,"Writing")</f>
        <v>0</v>
      </c>
      <c r="E8" s="2">
        <f>COUNTIFS('All Posts – To Write'!$B$2:$B$198,A8,'All Posts – To Write'!$H$2:$H$198,"To do")</f>
        <v>11</v>
      </c>
    </row>
    <row r="9" spans="1:5" x14ac:dyDescent="0.3">
      <c r="A9" s="2" t="s">
        <v>13</v>
      </c>
      <c r="B9" s="2">
        <f>COUNTIF('All Posts – To Write'!$B$2:$B$198,A9)</f>
        <v>12</v>
      </c>
      <c r="C9" s="2">
        <f>COUNTIFS('All Posts – To Write'!$B$2:$B$198,A9,'All Posts – To Write'!$H$2:$H$198,"Done")</f>
        <v>0</v>
      </c>
      <c r="D9" s="2">
        <f>COUNTIFS('All Posts – To Write'!$B$2:$B$198,A9,'All Posts – To Write'!$H$2:$H$198,"Writing")</f>
        <v>0</v>
      </c>
      <c r="E9" s="2">
        <f>COUNTIFS('All Posts – To Write'!$B$2:$B$198,A9,'All Posts – To Write'!$H$2:$H$198,"To do")</f>
        <v>12</v>
      </c>
    </row>
    <row r="10" spans="1:5" x14ac:dyDescent="0.3">
      <c r="A10" s="2" t="s">
        <v>0</v>
      </c>
      <c r="B10" s="2">
        <f>COUNTIF('All Posts – To Write'!$B$2:$B$198,A10)</f>
        <v>6</v>
      </c>
      <c r="C10" s="2">
        <f>COUNTIFS('All Posts – To Write'!$B$2:$B$198,A10,'All Posts – To Write'!$H$2:$H$198,"Done")</f>
        <v>0</v>
      </c>
      <c r="D10" s="2">
        <f>COUNTIFS('All Posts – To Write'!$B$2:$B$198,A10,'All Posts – To Write'!$H$2:$H$198,"Writing")</f>
        <v>0</v>
      </c>
      <c r="E10" s="2">
        <f>COUNTIFS('All Posts – To Write'!$B$2:$B$198,A10,'All Posts – To Write'!$H$2:$H$198,"To do")</f>
        <v>6</v>
      </c>
    </row>
    <row r="11" spans="1:5" x14ac:dyDescent="0.3">
      <c r="A11" s="3" t="s">
        <v>14</v>
      </c>
      <c r="B11" s="3">
        <f>SUM(B2:B10)</f>
        <v>197</v>
      </c>
      <c r="C11" s="3">
        <f>SUM(C2:C10)</f>
        <v>0</v>
      </c>
      <c r="D11" s="3">
        <f>SUM(D2:D10)</f>
        <v>0</v>
      </c>
      <c r="E11" s="3">
        <f>SUM(E2:E10)</f>
        <v>197</v>
      </c>
    </row>
    <row r="12" spans="1:5" x14ac:dyDescent="0.3">
      <c r="A12" s="4"/>
      <c r="B12" s="4"/>
      <c r="C12" s="4"/>
      <c r="D12" s="4"/>
      <c r="E12" s="4"/>
    </row>
    <row r="13" spans="1:5" x14ac:dyDescent="0.3">
      <c r="A13" s="2" t="s">
        <v>15</v>
      </c>
      <c r="B13" s="5">
        <f>COUNTA('Latest Jobs'!B2:B31)</f>
        <v>30</v>
      </c>
      <c r="C13" s="4"/>
      <c r="D13" s="4"/>
      <c r="E13" s="4"/>
    </row>
    <row r="14" spans="1:5" x14ac:dyDescent="0.3">
      <c r="A14" s="2" t="s">
        <v>16</v>
      </c>
      <c r="B14" s="5">
        <f ca="1">COUNTIF('Latest Jobs'!I2:I31,"Open")</f>
        <v>29</v>
      </c>
      <c r="C14" s="4"/>
      <c r="D14" s="4"/>
      <c r="E14" s="4"/>
    </row>
    <row r="15" spans="1:5" x14ac:dyDescent="0.3">
      <c r="A15" s="2" t="s">
        <v>17</v>
      </c>
      <c r="B15" s="5">
        <f ca="1">SUMIFS('Latest Jobs'!E2:E31,'Latest Jobs'!I2:I31,"Open")</f>
        <v>88805</v>
      </c>
      <c r="C15" s="4"/>
      <c r="D15" s="4"/>
      <c r="E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4" customWidth="1"/>
    <col min="3" max="3" width="28" customWidth="1"/>
    <col min="4" max="4" width="18" customWidth="1"/>
    <col min="5" max="5" width="9" customWidth="1"/>
    <col min="6" max="6" width="11" customWidth="1"/>
    <col min="7" max="8" width="13" customWidth="1"/>
    <col min="9" max="9" width="9" customWidth="1"/>
    <col min="10" max="10" width="14" customWidth="1"/>
    <col min="11" max="11" width="16" customWidth="1"/>
    <col min="12" max="12" width="34" customWidth="1"/>
    <col min="13" max="13" width="28" customWidth="1"/>
    <col min="14" max="14" width="18" customWidth="1"/>
    <col min="15" max="15" width="11" customWidth="1"/>
    <col min="16" max="16" width="16" customWidth="1"/>
    <col min="17" max="17" width="18" customWidth="1"/>
    <col min="18" max="18" width="38" customWidth="1"/>
    <col min="19" max="19" width="40" customWidth="1"/>
    <col min="20" max="20" width="26" customWidth="1"/>
    <col min="21" max="21" width="22" customWidth="1"/>
    <col min="22" max="22" width="26" customWidth="1"/>
    <col min="23" max="23" width="48" customWidth="1"/>
    <col min="24" max="24" width="40" customWidth="1"/>
    <col min="25" max="26" width="34" customWidth="1"/>
    <col min="27" max="27" width="11" customWidth="1"/>
  </cols>
  <sheetData>
    <row r="1" spans="1:27" ht="33.75" customHeight="1" x14ac:dyDescent="0.3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 t="s">
        <v>32</v>
      </c>
      <c r="P1" s="6" t="s">
        <v>33</v>
      </c>
      <c r="Q1" s="6" t="s">
        <v>34</v>
      </c>
      <c r="R1" s="6" t="s">
        <v>35</v>
      </c>
      <c r="S1" s="6" t="s">
        <v>36</v>
      </c>
      <c r="T1" s="6" t="s">
        <v>37</v>
      </c>
      <c r="U1" s="6" t="s">
        <v>38</v>
      </c>
      <c r="V1" s="6" t="s">
        <v>39</v>
      </c>
      <c r="W1" s="6" t="s">
        <v>40</v>
      </c>
      <c r="X1" s="7" t="s">
        <v>41</v>
      </c>
      <c r="Y1" s="7" t="s">
        <v>42</v>
      </c>
      <c r="Z1" s="7" t="s">
        <v>43</v>
      </c>
      <c r="AA1" s="6" t="s">
        <v>44</v>
      </c>
    </row>
    <row r="2" spans="1:27" ht="145.19999999999999" x14ac:dyDescent="0.3">
      <c r="A2" s="8">
        <v>1</v>
      </c>
      <c r="B2" s="9" t="s">
        <v>45</v>
      </c>
      <c r="C2" s="8" t="s">
        <v>46</v>
      </c>
      <c r="D2" s="8" t="s">
        <v>47</v>
      </c>
      <c r="E2" s="8">
        <v>30</v>
      </c>
      <c r="F2" s="8" t="s">
        <v>48</v>
      </c>
      <c r="G2" s="8" t="s">
        <v>49</v>
      </c>
      <c r="H2" s="10">
        <v>46324</v>
      </c>
      <c r="I2" s="8" t="str">
        <f t="shared" ref="I2:I31" ca="1" si="0">IF(H2="","",IF(H2&lt;TODAY(),"Closed","Open"))</f>
        <v>Closed</v>
      </c>
      <c r="J2" s="8" t="s">
        <v>50</v>
      </c>
      <c r="K2" s="8" t="s">
        <v>51</v>
      </c>
      <c r="L2" s="8" t="s">
        <v>52</v>
      </c>
      <c r="M2" s="8" t="s">
        <v>53</v>
      </c>
      <c r="N2" s="8"/>
      <c r="O2" s="8" t="s">
        <v>54</v>
      </c>
      <c r="P2" s="8" t="s">
        <v>55</v>
      </c>
      <c r="Q2" s="8" t="s">
        <v>56</v>
      </c>
      <c r="R2" s="8" t="s">
        <v>57</v>
      </c>
      <c r="S2" s="8" t="s">
        <v>58</v>
      </c>
      <c r="T2" s="8"/>
      <c r="U2" s="8" t="s">
        <v>59</v>
      </c>
      <c r="V2" s="8"/>
      <c r="W2" s="8" t="s">
        <v>60</v>
      </c>
      <c r="X2" s="11" t="s">
        <v>61</v>
      </c>
      <c r="Y2" s="11" t="s">
        <v>62</v>
      </c>
      <c r="Z2" s="11" t="s">
        <v>63</v>
      </c>
      <c r="AA2" s="8" t="s">
        <v>64</v>
      </c>
    </row>
    <row r="3" spans="1:27" ht="118.8" x14ac:dyDescent="0.3">
      <c r="A3" s="8">
        <v>2</v>
      </c>
      <c r="B3" s="9" t="s">
        <v>65</v>
      </c>
      <c r="C3" s="8" t="s">
        <v>66</v>
      </c>
      <c r="D3" s="8"/>
      <c r="E3" s="8"/>
      <c r="F3" s="8" t="s">
        <v>67</v>
      </c>
      <c r="G3" s="8" t="s">
        <v>68</v>
      </c>
      <c r="H3" s="10">
        <v>46326</v>
      </c>
      <c r="I3" s="8" t="str">
        <f t="shared" ca="1" si="0"/>
        <v>Open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/>
      <c r="U3" s="8" t="s">
        <v>59</v>
      </c>
      <c r="V3" s="8"/>
      <c r="W3" s="8" t="s">
        <v>79</v>
      </c>
      <c r="X3" s="11"/>
      <c r="Y3" s="11"/>
      <c r="Z3" s="11"/>
      <c r="AA3" s="8" t="s">
        <v>64</v>
      </c>
    </row>
    <row r="4" spans="1:27" ht="79.2" x14ac:dyDescent="0.3">
      <c r="A4" s="8">
        <v>3</v>
      </c>
      <c r="B4" s="9" t="s">
        <v>80</v>
      </c>
      <c r="C4" s="8" t="s">
        <v>81</v>
      </c>
      <c r="D4" s="8" t="s">
        <v>82</v>
      </c>
      <c r="E4" s="8">
        <v>232</v>
      </c>
      <c r="F4" s="8" t="s">
        <v>83</v>
      </c>
      <c r="G4" s="8" t="s">
        <v>84</v>
      </c>
      <c r="H4" s="10">
        <v>46327</v>
      </c>
      <c r="I4" s="8" t="str">
        <f t="shared" ca="1" si="0"/>
        <v>Open</v>
      </c>
      <c r="J4" s="8" t="s">
        <v>85</v>
      </c>
      <c r="K4" s="8" t="s">
        <v>86</v>
      </c>
      <c r="L4" s="8" t="s">
        <v>87</v>
      </c>
      <c r="M4" s="8" t="s">
        <v>88</v>
      </c>
      <c r="N4" s="8" t="s">
        <v>73</v>
      </c>
      <c r="O4" s="8" t="s">
        <v>54</v>
      </c>
      <c r="P4" s="8" t="s">
        <v>89</v>
      </c>
      <c r="Q4" s="8" t="s">
        <v>90</v>
      </c>
      <c r="R4" s="8" t="s">
        <v>91</v>
      </c>
      <c r="S4" s="8" t="s">
        <v>92</v>
      </c>
      <c r="T4" s="8"/>
      <c r="U4" s="8" t="s">
        <v>59</v>
      </c>
      <c r="V4" s="8"/>
      <c r="W4" s="8" t="s">
        <v>93</v>
      </c>
      <c r="X4" s="11"/>
      <c r="Y4" s="11"/>
      <c r="Z4" s="11"/>
      <c r="AA4" s="8" t="s">
        <v>64</v>
      </c>
    </row>
    <row r="5" spans="1:27" ht="105.6" x14ac:dyDescent="0.3">
      <c r="A5" s="8">
        <v>4</v>
      </c>
      <c r="B5" s="9" t="s">
        <v>94</v>
      </c>
      <c r="C5" s="8" t="s">
        <v>95</v>
      </c>
      <c r="D5" s="8" t="s">
        <v>96</v>
      </c>
      <c r="E5" s="8">
        <v>33320</v>
      </c>
      <c r="F5" s="8" t="s">
        <v>97</v>
      </c>
      <c r="G5" s="8" t="s">
        <v>98</v>
      </c>
      <c r="H5" s="10">
        <v>46328</v>
      </c>
      <c r="I5" s="8" t="str">
        <f t="shared" ca="1" si="0"/>
        <v>Open</v>
      </c>
      <c r="J5" s="8" t="s">
        <v>99</v>
      </c>
      <c r="K5" s="8" t="s">
        <v>100</v>
      </c>
      <c r="L5" s="8" t="s">
        <v>101</v>
      </c>
      <c r="M5" s="8" t="s">
        <v>102</v>
      </c>
      <c r="N5" s="8" t="s">
        <v>103</v>
      </c>
      <c r="O5" s="8" t="s">
        <v>104</v>
      </c>
      <c r="P5" s="8" t="s">
        <v>105</v>
      </c>
      <c r="Q5" s="8" t="s">
        <v>106</v>
      </c>
      <c r="R5" s="8" t="s">
        <v>107</v>
      </c>
      <c r="S5" s="8" t="s">
        <v>108</v>
      </c>
      <c r="T5" s="8" t="s">
        <v>109</v>
      </c>
      <c r="U5" s="8" t="s">
        <v>59</v>
      </c>
      <c r="V5" s="8"/>
      <c r="W5" s="8" t="s">
        <v>110</v>
      </c>
      <c r="X5" s="11"/>
      <c r="Y5" s="11"/>
      <c r="Z5" s="11"/>
      <c r="AA5" s="8" t="s">
        <v>64</v>
      </c>
    </row>
    <row r="6" spans="1:27" ht="171.6" x14ac:dyDescent="0.3">
      <c r="A6" s="8">
        <v>5</v>
      </c>
      <c r="B6" s="9" t="s">
        <v>111</v>
      </c>
      <c r="C6" s="8" t="s">
        <v>112</v>
      </c>
      <c r="D6" s="8" t="s">
        <v>113</v>
      </c>
      <c r="E6" s="8">
        <v>641</v>
      </c>
      <c r="F6" s="8"/>
      <c r="G6" s="8" t="s">
        <v>114</v>
      </c>
      <c r="H6" s="10">
        <v>46330</v>
      </c>
      <c r="I6" s="8" t="str">
        <f t="shared" ca="1" si="0"/>
        <v>Open</v>
      </c>
      <c r="J6" s="8"/>
      <c r="K6" s="8" t="s">
        <v>100</v>
      </c>
      <c r="L6" s="8" t="s">
        <v>115</v>
      </c>
      <c r="M6" s="8" t="s">
        <v>116</v>
      </c>
      <c r="N6" s="8"/>
      <c r="O6" s="8" t="s">
        <v>117</v>
      </c>
      <c r="P6" s="8" t="s">
        <v>118</v>
      </c>
      <c r="Q6" s="8"/>
      <c r="R6" s="8" t="s">
        <v>119</v>
      </c>
      <c r="S6" s="8" t="s">
        <v>120</v>
      </c>
      <c r="T6" s="8"/>
      <c r="U6" s="8" t="s">
        <v>121</v>
      </c>
      <c r="V6" s="8" t="s">
        <v>122</v>
      </c>
      <c r="W6" s="8" t="s">
        <v>123</v>
      </c>
      <c r="X6" s="11"/>
      <c r="Y6" s="11"/>
      <c r="Z6" s="11"/>
      <c r="AA6" s="8" t="s">
        <v>64</v>
      </c>
    </row>
    <row r="7" spans="1:27" ht="66" x14ac:dyDescent="0.3">
      <c r="A7" s="8">
        <v>6</v>
      </c>
      <c r="B7" s="9" t="s">
        <v>124</v>
      </c>
      <c r="C7" s="8" t="s">
        <v>125</v>
      </c>
      <c r="D7" s="8" t="s">
        <v>126</v>
      </c>
      <c r="E7" s="8">
        <v>12405</v>
      </c>
      <c r="F7" s="8" t="s">
        <v>127</v>
      </c>
      <c r="G7" s="8" t="s">
        <v>128</v>
      </c>
      <c r="H7" s="10">
        <v>46330</v>
      </c>
      <c r="I7" s="8" t="str">
        <f t="shared" ca="1" si="0"/>
        <v>Open</v>
      </c>
      <c r="J7" s="8" t="s">
        <v>129</v>
      </c>
      <c r="K7" s="8" t="s">
        <v>130</v>
      </c>
      <c r="L7" s="8" t="s">
        <v>131</v>
      </c>
      <c r="M7" s="8" t="s">
        <v>132</v>
      </c>
      <c r="N7" s="8" t="s">
        <v>73</v>
      </c>
      <c r="O7" s="8" t="s">
        <v>133</v>
      </c>
      <c r="P7" s="8" t="s">
        <v>134</v>
      </c>
      <c r="Q7" s="8" t="s">
        <v>135</v>
      </c>
      <c r="R7" s="8" t="s">
        <v>136</v>
      </c>
      <c r="S7" s="8" t="s">
        <v>137</v>
      </c>
      <c r="T7" s="8" t="s">
        <v>138</v>
      </c>
      <c r="U7" s="8" t="s">
        <v>59</v>
      </c>
      <c r="V7" s="8"/>
      <c r="W7" s="8" t="s">
        <v>139</v>
      </c>
      <c r="X7" s="11"/>
      <c r="Y7" s="11"/>
      <c r="Z7" s="11"/>
      <c r="AA7" s="8" t="s">
        <v>64</v>
      </c>
    </row>
    <row r="8" spans="1:27" ht="158.4" x14ac:dyDescent="0.3">
      <c r="A8" s="8">
        <v>7</v>
      </c>
      <c r="B8" s="9" t="s">
        <v>140</v>
      </c>
      <c r="C8" s="8" t="s">
        <v>141</v>
      </c>
      <c r="D8" s="8" t="s">
        <v>142</v>
      </c>
      <c r="E8" s="8">
        <v>6574</v>
      </c>
      <c r="F8" s="8"/>
      <c r="G8" s="8" t="s">
        <v>114</v>
      </c>
      <c r="H8" s="10">
        <v>46331</v>
      </c>
      <c r="I8" s="8" t="str">
        <f t="shared" ca="1" si="0"/>
        <v>Open</v>
      </c>
      <c r="J8" s="8"/>
      <c r="K8" s="8" t="s">
        <v>143</v>
      </c>
      <c r="L8" s="8" t="s">
        <v>144</v>
      </c>
      <c r="M8" s="8" t="s">
        <v>145</v>
      </c>
      <c r="N8" s="8"/>
      <c r="O8" s="8" t="s">
        <v>117</v>
      </c>
      <c r="P8" s="8" t="s">
        <v>146</v>
      </c>
      <c r="Q8" s="8" t="s">
        <v>147</v>
      </c>
      <c r="R8" s="8" t="s">
        <v>148</v>
      </c>
      <c r="S8" s="8" t="s">
        <v>149</v>
      </c>
      <c r="T8" s="8"/>
      <c r="U8" s="8" t="s">
        <v>150</v>
      </c>
      <c r="V8" s="8" t="s">
        <v>151</v>
      </c>
      <c r="W8" s="8" t="s">
        <v>152</v>
      </c>
      <c r="X8" s="11"/>
      <c r="Y8" s="11"/>
      <c r="Z8" s="11"/>
      <c r="AA8" s="8" t="s">
        <v>64</v>
      </c>
    </row>
    <row r="9" spans="1:27" ht="132" x14ac:dyDescent="0.3">
      <c r="A9" s="8">
        <v>8</v>
      </c>
      <c r="B9" s="9" t="s">
        <v>153</v>
      </c>
      <c r="C9" s="8" t="s">
        <v>154</v>
      </c>
      <c r="D9" s="8" t="s">
        <v>155</v>
      </c>
      <c r="E9" s="8">
        <v>3477</v>
      </c>
      <c r="F9" s="8"/>
      <c r="G9" s="8" t="s">
        <v>156</v>
      </c>
      <c r="H9" s="10">
        <v>46332</v>
      </c>
      <c r="I9" s="8" t="str">
        <f t="shared" ca="1" si="0"/>
        <v>Open</v>
      </c>
      <c r="J9" s="8" t="s">
        <v>157</v>
      </c>
      <c r="K9" s="8" t="s">
        <v>100</v>
      </c>
      <c r="L9" s="8" t="s">
        <v>158</v>
      </c>
      <c r="M9" s="8" t="s">
        <v>159</v>
      </c>
      <c r="N9" s="8"/>
      <c r="O9" s="8" t="s">
        <v>117</v>
      </c>
      <c r="P9" s="8" t="s">
        <v>160</v>
      </c>
      <c r="Q9" s="8" t="s">
        <v>161</v>
      </c>
      <c r="R9" s="8" t="s">
        <v>162</v>
      </c>
      <c r="S9" s="8" t="s">
        <v>163</v>
      </c>
      <c r="T9" s="8"/>
      <c r="U9" s="8" t="s">
        <v>164</v>
      </c>
      <c r="V9" s="8" t="s">
        <v>165</v>
      </c>
      <c r="W9" s="8" t="s">
        <v>166</v>
      </c>
      <c r="X9" s="11"/>
      <c r="Y9" s="11"/>
      <c r="Z9" s="11"/>
      <c r="AA9" s="8" t="s">
        <v>64</v>
      </c>
    </row>
    <row r="10" spans="1:27" ht="66" x14ac:dyDescent="0.3">
      <c r="A10" s="8">
        <v>9</v>
      </c>
      <c r="B10" s="9" t="s">
        <v>167</v>
      </c>
      <c r="C10" s="8" t="s">
        <v>168</v>
      </c>
      <c r="D10" s="8" t="s">
        <v>169</v>
      </c>
      <c r="E10" s="8">
        <v>2008</v>
      </c>
      <c r="F10" s="8"/>
      <c r="G10" s="8" t="s">
        <v>170</v>
      </c>
      <c r="H10" s="10">
        <v>46332</v>
      </c>
      <c r="I10" s="8" t="str">
        <f t="shared" ca="1" si="0"/>
        <v>Open</v>
      </c>
      <c r="J10" s="8"/>
      <c r="K10" s="8"/>
      <c r="L10" s="8" t="s">
        <v>171</v>
      </c>
      <c r="M10" s="8" t="s">
        <v>172</v>
      </c>
      <c r="N10" s="8"/>
      <c r="O10" s="8" t="s">
        <v>173</v>
      </c>
      <c r="P10" s="8" t="s">
        <v>174</v>
      </c>
      <c r="Q10" s="8" t="s">
        <v>161</v>
      </c>
      <c r="R10" s="8" t="s">
        <v>175</v>
      </c>
      <c r="S10" s="8" t="s">
        <v>176</v>
      </c>
      <c r="T10" s="8"/>
      <c r="U10" s="8" t="s">
        <v>177</v>
      </c>
      <c r="V10" s="8" t="s">
        <v>178</v>
      </c>
      <c r="W10" s="8" t="s">
        <v>179</v>
      </c>
      <c r="X10" s="11"/>
      <c r="Y10" s="11"/>
      <c r="Z10" s="11"/>
      <c r="AA10" s="8" t="s">
        <v>64</v>
      </c>
    </row>
    <row r="11" spans="1:27" ht="105.6" x14ac:dyDescent="0.3">
      <c r="A11" s="8">
        <v>10</v>
      </c>
      <c r="B11" s="9" t="s">
        <v>180</v>
      </c>
      <c r="C11" s="8" t="s">
        <v>181</v>
      </c>
      <c r="D11" s="8" t="s">
        <v>182</v>
      </c>
      <c r="E11" s="8">
        <v>1067</v>
      </c>
      <c r="F11" s="8"/>
      <c r="G11" s="8" t="s">
        <v>183</v>
      </c>
      <c r="H11" s="10">
        <v>46335</v>
      </c>
      <c r="I11" s="8" t="str">
        <f t="shared" ca="1" si="0"/>
        <v>Open</v>
      </c>
      <c r="J11" s="8"/>
      <c r="K11" s="8"/>
      <c r="L11" s="8" t="s">
        <v>184</v>
      </c>
      <c r="M11" s="8" t="s">
        <v>185</v>
      </c>
      <c r="N11" s="8"/>
      <c r="O11" s="8" t="s">
        <v>117</v>
      </c>
      <c r="P11" s="8"/>
      <c r="Q11" s="8" t="s">
        <v>186</v>
      </c>
      <c r="R11" s="8" t="s">
        <v>187</v>
      </c>
      <c r="S11" s="8" t="s">
        <v>188</v>
      </c>
      <c r="T11" s="8"/>
      <c r="U11" s="8" t="s">
        <v>189</v>
      </c>
      <c r="V11" s="8" t="s">
        <v>190</v>
      </c>
      <c r="W11" s="8" t="s">
        <v>191</v>
      </c>
      <c r="X11" s="11"/>
      <c r="Y11" s="11"/>
      <c r="Z11" s="11"/>
      <c r="AA11" s="8" t="s">
        <v>64</v>
      </c>
    </row>
    <row r="12" spans="1:27" ht="92.4" x14ac:dyDescent="0.3">
      <c r="A12" s="8">
        <v>11</v>
      </c>
      <c r="B12" s="9" t="s">
        <v>192</v>
      </c>
      <c r="C12" s="8" t="s">
        <v>193</v>
      </c>
      <c r="D12" s="8" t="s">
        <v>194</v>
      </c>
      <c r="E12" s="8">
        <v>84</v>
      </c>
      <c r="F12" s="8"/>
      <c r="G12" s="8" t="s">
        <v>195</v>
      </c>
      <c r="H12" s="10">
        <v>46336</v>
      </c>
      <c r="I12" s="8" t="str">
        <f t="shared" ca="1" si="0"/>
        <v>Open</v>
      </c>
      <c r="J12" s="8"/>
      <c r="K12" s="8" t="s">
        <v>100</v>
      </c>
      <c r="L12" s="8" t="s">
        <v>196</v>
      </c>
      <c r="M12" s="8" t="s">
        <v>197</v>
      </c>
      <c r="N12" s="8"/>
      <c r="O12" s="8" t="s">
        <v>117</v>
      </c>
      <c r="P12" s="8" t="s">
        <v>198</v>
      </c>
      <c r="Q12" s="8" t="s">
        <v>199</v>
      </c>
      <c r="R12" s="8" t="s">
        <v>200</v>
      </c>
      <c r="S12" s="8" t="s">
        <v>201</v>
      </c>
      <c r="T12" s="8"/>
      <c r="U12" s="8" t="s">
        <v>202</v>
      </c>
      <c r="V12" s="8" t="s">
        <v>203</v>
      </c>
      <c r="W12" s="8" t="s">
        <v>204</v>
      </c>
      <c r="X12" s="11"/>
      <c r="Y12" s="11"/>
      <c r="Z12" s="11"/>
      <c r="AA12" s="8" t="s">
        <v>64</v>
      </c>
    </row>
    <row r="13" spans="1:27" ht="66" x14ac:dyDescent="0.3">
      <c r="A13" s="8">
        <v>12</v>
      </c>
      <c r="B13" s="9" t="s">
        <v>205</v>
      </c>
      <c r="C13" s="8" t="s">
        <v>46</v>
      </c>
      <c r="D13" s="8" t="s">
        <v>206</v>
      </c>
      <c r="E13" s="8">
        <v>90</v>
      </c>
      <c r="F13" s="8"/>
      <c r="G13" s="8" t="s">
        <v>207</v>
      </c>
      <c r="H13" s="10">
        <v>46338</v>
      </c>
      <c r="I13" s="8" t="str">
        <f t="shared" ca="1" si="0"/>
        <v>Open</v>
      </c>
      <c r="J13" s="8"/>
      <c r="K13" s="8"/>
      <c r="L13" s="8" t="s">
        <v>208</v>
      </c>
      <c r="M13" s="8" t="s">
        <v>53</v>
      </c>
      <c r="N13" s="8"/>
      <c r="O13" s="8" t="s">
        <v>209</v>
      </c>
      <c r="P13" s="8" t="s">
        <v>210</v>
      </c>
      <c r="Q13" s="8" t="s">
        <v>211</v>
      </c>
      <c r="R13" s="8" t="s">
        <v>212</v>
      </c>
      <c r="S13" s="8" t="s">
        <v>213</v>
      </c>
      <c r="T13" s="8"/>
      <c r="U13" s="8" t="s">
        <v>214</v>
      </c>
      <c r="V13" s="8" t="s">
        <v>215</v>
      </c>
      <c r="W13" s="8" t="s">
        <v>216</v>
      </c>
      <c r="X13" s="11"/>
      <c r="Y13" s="11"/>
      <c r="Z13" s="11"/>
      <c r="AA13" s="8" t="s">
        <v>64</v>
      </c>
    </row>
    <row r="14" spans="1:27" ht="145.19999999999999" x14ac:dyDescent="0.3">
      <c r="A14" s="8">
        <v>13</v>
      </c>
      <c r="B14" s="9" t="s">
        <v>217</v>
      </c>
      <c r="C14" s="8" t="s">
        <v>218</v>
      </c>
      <c r="D14" s="8" t="s">
        <v>219</v>
      </c>
      <c r="E14" s="8">
        <v>61</v>
      </c>
      <c r="F14" s="8"/>
      <c r="G14" s="8" t="s">
        <v>220</v>
      </c>
      <c r="H14" s="10">
        <v>46339</v>
      </c>
      <c r="I14" s="8" t="str">
        <f t="shared" ca="1" si="0"/>
        <v>Open</v>
      </c>
      <c r="J14" s="8"/>
      <c r="K14" s="8" t="s">
        <v>100</v>
      </c>
      <c r="L14" s="8" t="s">
        <v>221</v>
      </c>
      <c r="M14" s="8" t="s">
        <v>222</v>
      </c>
      <c r="N14" s="8"/>
      <c r="O14" s="8" t="s">
        <v>117</v>
      </c>
      <c r="P14" s="8" t="s">
        <v>223</v>
      </c>
      <c r="Q14" s="8" t="s">
        <v>224</v>
      </c>
      <c r="R14" s="8" t="s">
        <v>225</v>
      </c>
      <c r="S14" s="8" t="s">
        <v>226</v>
      </c>
      <c r="T14" s="8"/>
      <c r="U14" s="8" t="s">
        <v>227</v>
      </c>
      <c r="V14" s="8" t="s">
        <v>228</v>
      </c>
      <c r="W14" s="8" t="s">
        <v>229</v>
      </c>
      <c r="X14" s="11"/>
      <c r="Y14" s="11"/>
      <c r="Z14" s="11"/>
      <c r="AA14" s="8" t="s">
        <v>64</v>
      </c>
    </row>
    <row r="15" spans="1:27" ht="118.8" x14ac:dyDescent="0.3">
      <c r="A15" s="8">
        <v>14</v>
      </c>
      <c r="B15" s="9" t="s">
        <v>230</v>
      </c>
      <c r="C15" s="8" t="s">
        <v>154</v>
      </c>
      <c r="D15" s="8" t="s">
        <v>231</v>
      </c>
      <c r="E15" s="8">
        <v>1688</v>
      </c>
      <c r="F15" s="8"/>
      <c r="G15" s="8" t="s">
        <v>232</v>
      </c>
      <c r="H15" s="10">
        <v>46341</v>
      </c>
      <c r="I15" s="8" t="str">
        <f t="shared" ca="1" si="0"/>
        <v>Open</v>
      </c>
      <c r="J15" s="8" t="s">
        <v>233</v>
      </c>
      <c r="K15" s="8" t="s">
        <v>100</v>
      </c>
      <c r="L15" s="8" t="s">
        <v>234</v>
      </c>
      <c r="M15" s="8" t="s">
        <v>159</v>
      </c>
      <c r="N15" s="8"/>
      <c r="O15" s="8" t="s">
        <v>117</v>
      </c>
      <c r="P15" s="8" t="s">
        <v>235</v>
      </c>
      <c r="Q15" s="8" t="s">
        <v>161</v>
      </c>
      <c r="R15" s="8" t="s">
        <v>236</v>
      </c>
      <c r="S15" s="8" t="s">
        <v>237</v>
      </c>
      <c r="T15" s="8"/>
      <c r="U15" s="8" t="s">
        <v>238</v>
      </c>
      <c r="V15" s="8" t="s">
        <v>239</v>
      </c>
      <c r="W15" s="8" t="s">
        <v>166</v>
      </c>
      <c r="X15" s="11"/>
      <c r="Y15" s="11"/>
      <c r="Z15" s="11"/>
      <c r="AA15" s="8" t="s">
        <v>64</v>
      </c>
    </row>
    <row r="16" spans="1:27" ht="158.4" x14ac:dyDescent="0.3">
      <c r="A16" s="8">
        <v>15</v>
      </c>
      <c r="B16" s="9" t="s">
        <v>240</v>
      </c>
      <c r="C16" s="8" t="s">
        <v>241</v>
      </c>
      <c r="D16" s="8" t="s">
        <v>242</v>
      </c>
      <c r="E16" s="8">
        <v>327</v>
      </c>
      <c r="F16" s="8"/>
      <c r="G16" s="8" t="s">
        <v>243</v>
      </c>
      <c r="H16" s="10">
        <v>46341</v>
      </c>
      <c r="I16" s="8" t="str">
        <f t="shared" ca="1" si="0"/>
        <v>Open</v>
      </c>
      <c r="J16" s="8"/>
      <c r="K16" s="8" t="s">
        <v>100</v>
      </c>
      <c r="L16" s="8" t="s">
        <v>244</v>
      </c>
      <c r="M16" s="8" t="s">
        <v>245</v>
      </c>
      <c r="N16" s="8"/>
      <c r="O16" s="8" t="s">
        <v>117</v>
      </c>
      <c r="P16" s="8" t="s">
        <v>246</v>
      </c>
      <c r="Q16" s="8"/>
      <c r="R16" s="8" t="s">
        <v>247</v>
      </c>
      <c r="S16" s="8" t="s">
        <v>248</v>
      </c>
      <c r="T16" s="8"/>
      <c r="U16" s="8" t="s">
        <v>121</v>
      </c>
      <c r="V16" s="8" t="s">
        <v>249</v>
      </c>
      <c r="W16" s="8" t="s">
        <v>250</v>
      </c>
      <c r="X16" s="11"/>
      <c r="Y16" s="11"/>
      <c r="Z16" s="11"/>
      <c r="AA16" s="8" t="s">
        <v>64</v>
      </c>
    </row>
    <row r="17" spans="1:27" ht="52.8" x14ac:dyDescent="0.3">
      <c r="A17" s="8">
        <v>16</v>
      </c>
      <c r="B17" s="9" t="s">
        <v>251</v>
      </c>
      <c r="C17" s="8" t="s">
        <v>252</v>
      </c>
      <c r="D17" s="8" t="s">
        <v>253</v>
      </c>
      <c r="E17" s="8">
        <v>20</v>
      </c>
      <c r="F17" s="8"/>
      <c r="G17" s="8" t="s">
        <v>254</v>
      </c>
      <c r="H17" s="10">
        <v>46341</v>
      </c>
      <c r="I17" s="8" t="str">
        <f t="shared" ca="1" si="0"/>
        <v>Open</v>
      </c>
      <c r="J17" s="8"/>
      <c r="K17" s="8" t="s">
        <v>100</v>
      </c>
      <c r="L17" s="8" t="s">
        <v>255</v>
      </c>
      <c r="M17" s="8" t="s">
        <v>256</v>
      </c>
      <c r="N17" s="8"/>
      <c r="O17" s="8" t="s">
        <v>235</v>
      </c>
      <c r="P17" s="8" t="s">
        <v>257</v>
      </c>
      <c r="Q17" s="8"/>
      <c r="R17" s="8" t="s">
        <v>258</v>
      </c>
      <c r="S17" s="8" t="s">
        <v>259</v>
      </c>
      <c r="T17" s="8"/>
      <c r="U17" s="8" t="s">
        <v>121</v>
      </c>
      <c r="V17" s="8" t="s">
        <v>260</v>
      </c>
      <c r="W17" s="8" t="s">
        <v>261</v>
      </c>
      <c r="X17" s="11"/>
      <c r="Y17" s="11"/>
      <c r="Z17" s="11"/>
      <c r="AA17" s="8" t="s">
        <v>64</v>
      </c>
    </row>
    <row r="18" spans="1:27" ht="92.4" x14ac:dyDescent="0.3">
      <c r="A18" s="8">
        <v>17</v>
      </c>
      <c r="B18" s="9" t="s">
        <v>262</v>
      </c>
      <c r="C18" s="8" t="s">
        <v>263</v>
      </c>
      <c r="D18" s="8" t="s">
        <v>264</v>
      </c>
      <c r="E18" s="8">
        <v>350</v>
      </c>
      <c r="F18" s="8"/>
      <c r="G18" s="8" t="s">
        <v>265</v>
      </c>
      <c r="H18" s="10">
        <v>46344</v>
      </c>
      <c r="I18" s="8" t="str">
        <f t="shared" ca="1" si="0"/>
        <v>Open</v>
      </c>
      <c r="J18" s="8"/>
      <c r="K18" s="8" t="s">
        <v>266</v>
      </c>
      <c r="L18" s="8" t="s">
        <v>267</v>
      </c>
      <c r="M18" s="8" t="s">
        <v>268</v>
      </c>
      <c r="N18" s="8"/>
      <c r="O18" s="8"/>
      <c r="P18" s="8" t="s">
        <v>89</v>
      </c>
      <c r="Q18" s="8" t="s">
        <v>224</v>
      </c>
      <c r="R18" s="8" t="s">
        <v>269</v>
      </c>
      <c r="S18" s="8" t="s">
        <v>270</v>
      </c>
      <c r="T18" s="8"/>
      <c r="U18" s="8" t="s">
        <v>271</v>
      </c>
      <c r="V18" s="8" t="s">
        <v>272</v>
      </c>
      <c r="W18" s="8" t="s">
        <v>273</v>
      </c>
      <c r="X18" s="11"/>
      <c r="Y18" s="11"/>
      <c r="Z18" s="11"/>
      <c r="AA18" s="8" t="s">
        <v>64</v>
      </c>
    </row>
    <row r="19" spans="1:27" ht="158.4" x14ac:dyDescent="0.3">
      <c r="A19" s="8">
        <v>18</v>
      </c>
      <c r="B19" s="9" t="s">
        <v>274</v>
      </c>
      <c r="C19" s="8" t="s">
        <v>275</v>
      </c>
      <c r="D19" s="8" t="s">
        <v>276</v>
      </c>
      <c r="E19" s="8">
        <v>80</v>
      </c>
      <c r="F19" s="8"/>
      <c r="G19" s="8" t="s">
        <v>277</v>
      </c>
      <c r="H19" s="10">
        <v>46344</v>
      </c>
      <c r="I19" s="8" t="str">
        <f t="shared" ca="1" si="0"/>
        <v>Open</v>
      </c>
      <c r="J19" s="8"/>
      <c r="K19" s="8"/>
      <c r="L19" s="8" t="s">
        <v>278</v>
      </c>
      <c r="M19" s="8" t="s">
        <v>279</v>
      </c>
      <c r="N19" s="8"/>
      <c r="O19" s="8" t="s">
        <v>117</v>
      </c>
      <c r="P19" s="8" t="s">
        <v>280</v>
      </c>
      <c r="Q19" s="8" t="s">
        <v>281</v>
      </c>
      <c r="R19" s="8" t="s">
        <v>282</v>
      </c>
      <c r="S19" s="8" t="s">
        <v>283</v>
      </c>
      <c r="T19" s="8"/>
      <c r="U19" s="8" t="s">
        <v>284</v>
      </c>
      <c r="V19" s="8" t="s">
        <v>285</v>
      </c>
      <c r="W19" s="8" t="s">
        <v>286</v>
      </c>
      <c r="X19" s="11"/>
      <c r="Y19" s="11"/>
      <c r="Z19" s="11"/>
      <c r="AA19" s="8" t="s">
        <v>64</v>
      </c>
    </row>
    <row r="20" spans="1:27" ht="92.4" x14ac:dyDescent="0.3">
      <c r="A20" s="8">
        <v>19</v>
      </c>
      <c r="B20" s="9" t="s">
        <v>287</v>
      </c>
      <c r="C20" s="8" t="s">
        <v>288</v>
      </c>
      <c r="D20" s="8" t="s">
        <v>289</v>
      </c>
      <c r="E20" s="8">
        <v>660</v>
      </c>
      <c r="F20" s="8"/>
      <c r="G20" s="8" t="s">
        <v>183</v>
      </c>
      <c r="H20" s="10">
        <v>46344</v>
      </c>
      <c r="I20" s="8" t="str">
        <f t="shared" ca="1" si="0"/>
        <v>Open</v>
      </c>
      <c r="J20" s="8"/>
      <c r="K20" s="8" t="s">
        <v>290</v>
      </c>
      <c r="L20" s="8" t="s">
        <v>291</v>
      </c>
      <c r="M20" s="8" t="s">
        <v>292</v>
      </c>
      <c r="N20" s="8"/>
      <c r="O20" s="8"/>
      <c r="P20" s="8" t="s">
        <v>293</v>
      </c>
      <c r="Q20" s="8" t="s">
        <v>294</v>
      </c>
      <c r="R20" s="8" t="s">
        <v>295</v>
      </c>
      <c r="S20" s="8" t="s">
        <v>296</v>
      </c>
      <c r="T20" s="8"/>
      <c r="U20" s="8" t="s">
        <v>121</v>
      </c>
      <c r="V20" s="8" t="s">
        <v>297</v>
      </c>
      <c r="W20" s="8" t="s">
        <v>298</v>
      </c>
      <c r="X20" s="11"/>
      <c r="Y20" s="11"/>
      <c r="Z20" s="11"/>
      <c r="AA20" s="8" t="s">
        <v>64</v>
      </c>
    </row>
    <row r="21" spans="1:27" ht="118.8" x14ac:dyDescent="0.3">
      <c r="A21" s="8">
        <v>20</v>
      </c>
      <c r="B21" s="9" t="s">
        <v>299</v>
      </c>
      <c r="C21" s="8" t="s">
        <v>300</v>
      </c>
      <c r="D21" s="8" t="s">
        <v>301</v>
      </c>
      <c r="E21" s="8">
        <v>74</v>
      </c>
      <c r="F21" s="8" t="s">
        <v>302</v>
      </c>
      <c r="G21" s="8" t="s">
        <v>303</v>
      </c>
      <c r="H21" s="10">
        <v>46346</v>
      </c>
      <c r="I21" s="8" t="str">
        <f t="shared" ca="1" si="0"/>
        <v>Open</v>
      </c>
      <c r="J21" s="8" t="s">
        <v>304</v>
      </c>
      <c r="K21" s="8" t="s">
        <v>100</v>
      </c>
      <c r="L21" s="8" t="s">
        <v>305</v>
      </c>
      <c r="M21" s="8" t="s">
        <v>306</v>
      </c>
      <c r="N21" s="8" t="s">
        <v>103</v>
      </c>
      <c r="O21" s="8" t="s">
        <v>117</v>
      </c>
      <c r="P21" s="8" t="s">
        <v>134</v>
      </c>
      <c r="Q21" s="8"/>
      <c r="R21" s="8" t="s">
        <v>307</v>
      </c>
      <c r="S21" s="8" t="s">
        <v>308</v>
      </c>
      <c r="T21" s="8" t="s">
        <v>309</v>
      </c>
      <c r="U21" s="8" t="s">
        <v>59</v>
      </c>
      <c r="V21" s="8"/>
      <c r="W21" s="8" t="s">
        <v>310</v>
      </c>
      <c r="X21" s="11"/>
      <c r="Y21" s="11"/>
      <c r="Z21" s="11"/>
      <c r="AA21" s="8" t="s">
        <v>64</v>
      </c>
    </row>
    <row r="22" spans="1:27" ht="66" x14ac:dyDescent="0.3">
      <c r="A22" s="8">
        <v>21</v>
      </c>
      <c r="B22" s="9" t="s">
        <v>311</v>
      </c>
      <c r="C22" s="8" t="s">
        <v>312</v>
      </c>
      <c r="D22" s="8" t="s">
        <v>313</v>
      </c>
      <c r="E22" s="8">
        <v>1038</v>
      </c>
      <c r="F22" s="8"/>
      <c r="G22" s="8" t="s">
        <v>314</v>
      </c>
      <c r="H22" s="10">
        <v>46348</v>
      </c>
      <c r="I22" s="8" t="str">
        <f t="shared" ca="1" si="0"/>
        <v>Open</v>
      </c>
      <c r="J22" s="8"/>
      <c r="K22" s="8" t="s">
        <v>100</v>
      </c>
      <c r="L22" s="8" t="s">
        <v>315</v>
      </c>
      <c r="M22" s="8" t="s">
        <v>316</v>
      </c>
      <c r="N22" s="8"/>
      <c r="O22" s="8"/>
      <c r="P22" s="8" t="s">
        <v>223</v>
      </c>
      <c r="Q22" s="8" t="s">
        <v>317</v>
      </c>
      <c r="R22" s="8" t="s">
        <v>318</v>
      </c>
      <c r="S22" s="8" t="s">
        <v>319</v>
      </c>
      <c r="T22" s="8"/>
      <c r="U22" s="8" t="s">
        <v>320</v>
      </c>
      <c r="V22" s="8" t="s">
        <v>321</v>
      </c>
      <c r="W22" s="8" t="s">
        <v>322</v>
      </c>
      <c r="X22" s="11"/>
      <c r="Y22" s="11"/>
      <c r="Z22" s="11"/>
      <c r="AA22" s="8" t="s">
        <v>64</v>
      </c>
    </row>
    <row r="23" spans="1:27" ht="52.8" x14ac:dyDescent="0.3">
      <c r="A23" s="8">
        <v>22</v>
      </c>
      <c r="B23" s="9" t="s">
        <v>323</v>
      </c>
      <c r="C23" s="8" t="s">
        <v>125</v>
      </c>
      <c r="D23" s="8" t="s">
        <v>324</v>
      </c>
      <c r="E23" s="8">
        <v>1172</v>
      </c>
      <c r="F23" s="8" t="s">
        <v>83</v>
      </c>
      <c r="G23" s="8" t="s">
        <v>83</v>
      </c>
      <c r="H23" s="10">
        <v>46348</v>
      </c>
      <c r="I23" s="8" t="str">
        <f t="shared" ca="1" si="0"/>
        <v>Open</v>
      </c>
      <c r="J23" s="8" t="s">
        <v>325</v>
      </c>
      <c r="K23" s="8" t="s">
        <v>326</v>
      </c>
      <c r="L23" s="8" t="s">
        <v>327</v>
      </c>
      <c r="M23" s="8" t="s">
        <v>328</v>
      </c>
      <c r="N23" s="8" t="s">
        <v>73</v>
      </c>
      <c r="O23" s="8" t="s">
        <v>235</v>
      </c>
      <c r="P23" s="8" t="s">
        <v>329</v>
      </c>
      <c r="Q23" s="8" t="s">
        <v>135</v>
      </c>
      <c r="R23" s="8" t="s">
        <v>330</v>
      </c>
      <c r="S23" s="8" t="s">
        <v>331</v>
      </c>
      <c r="T23" s="8"/>
      <c r="U23" s="8" t="s">
        <v>59</v>
      </c>
      <c r="V23" s="8"/>
      <c r="W23" s="8" t="s">
        <v>332</v>
      </c>
      <c r="X23" s="11"/>
      <c r="Y23" s="11"/>
      <c r="Z23" s="11"/>
      <c r="AA23" s="8" t="s">
        <v>64</v>
      </c>
    </row>
    <row r="24" spans="1:27" ht="52.8" x14ac:dyDescent="0.3">
      <c r="A24" s="8">
        <v>23</v>
      </c>
      <c r="B24" s="9" t="s">
        <v>333</v>
      </c>
      <c r="C24" s="8" t="s">
        <v>125</v>
      </c>
      <c r="D24" s="8" t="s">
        <v>334</v>
      </c>
      <c r="E24" s="8">
        <v>1475</v>
      </c>
      <c r="F24" s="8" t="s">
        <v>83</v>
      </c>
      <c r="G24" s="8" t="s">
        <v>83</v>
      </c>
      <c r="H24" s="10">
        <v>46348</v>
      </c>
      <c r="I24" s="8" t="str">
        <f t="shared" ca="1" si="0"/>
        <v>Open</v>
      </c>
      <c r="J24" s="8" t="s">
        <v>325</v>
      </c>
      <c r="K24" s="8" t="s">
        <v>326</v>
      </c>
      <c r="L24" s="8" t="s">
        <v>327</v>
      </c>
      <c r="M24" s="8" t="s">
        <v>335</v>
      </c>
      <c r="N24" s="8" t="s">
        <v>73</v>
      </c>
      <c r="O24" s="8" t="s">
        <v>235</v>
      </c>
      <c r="P24" s="8" t="s">
        <v>329</v>
      </c>
      <c r="Q24" s="8" t="s">
        <v>135</v>
      </c>
      <c r="R24" s="8" t="s">
        <v>336</v>
      </c>
      <c r="S24" s="8" t="s">
        <v>337</v>
      </c>
      <c r="T24" s="8"/>
      <c r="U24" s="8" t="s">
        <v>59</v>
      </c>
      <c r="V24" s="8"/>
      <c r="W24" s="8" t="s">
        <v>332</v>
      </c>
      <c r="X24" s="11"/>
      <c r="Y24" s="11"/>
      <c r="Z24" s="11"/>
      <c r="AA24" s="8" t="s">
        <v>64</v>
      </c>
    </row>
    <row r="25" spans="1:27" ht="171.6" x14ac:dyDescent="0.3">
      <c r="A25" s="8">
        <v>24</v>
      </c>
      <c r="B25" s="9" t="s">
        <v>338</v>
      </c>
      <c r="C25" s="8" t="s">
        <v>125</v>
      </c>
      <c r="D25" s="8" t="s">
        <v>339</v>
      </c>
      <c r="E25" s="8">
        <v>17735</v>
      </c>
      <c r="F25" s="8"/>
      <c r="G25" s="8" t="s">
        <v>220</v>
      </c>
      <c r="H25" s="10">
        <v>46349</v>
      </c>
      <c r="I25" s="8" t="str">
        <f t="shared" ca="1" si="0"/>
        <v>Open</v>
      </c>
      <c r="J25" s="8"/>
      <c r="K25" s="8" t="s">
        <v>340</v>
      </c>
      <c r="L25" s="8" t="s">
        <v>341</v>
      </c>
      <c r="M25" s="8" t="s">
        <v>132</v>
      </c>
      <c r="N25" s="8"/>
      <c r="O25" s="8" t="s">
        <v>133</v>
      </c>
      <c r="P25" s="8" t="s">
        <v>342</v>
      </c>
      <c r="Q25" s="8"/>
      <c r="R25" s="8" t="s">
        <v>343</v>
      </c>
      <c r="S25" s="8" t="s">
        <v>344</v>
      </c>
      <c r="T25" s="8"/>
      <c r="U25" s="8" t="s">
        <v>345</v>
      </c>
      <c r="V25" s="8" t="s">
        <v>346</v>
      </c>
      <c r="W25" s="8" t="s">
        <v>347</v>
      </c>
      <c r="X25" s="11"/>
      <c r="Y25" s="11"/>
      <c r="Z25" s="11"/>
      <c r="AA25" s="8" t="s">
        <v>64</v>
      </c>
    </row>
    <row r="26" spans="1:27" ht="145.19999999999999" x14ac:dyDescent="0.3">
      <c r="A26" s="8">
        <v>25</v>
      </c>
      <c r="B26" s="9" t="s">
        <v>348</v>
      </c>
      <c r="C26" s="8" t="s">
        <v>154</v>
      </c>
      <c r="D26" s="8" t="s">
        <v>349</v>
      </c>
      <c r="E26" s="8">
        <v>1265</v>
      </c>
      <c r="F26" s="8"/>
      <c r="G26" s="8" t="s">
        <v>195</v>
      </c>
      <c r="H26" s="10">
        <v>46351</v>
      </c>
      <c r="I26" s="8" t="str">
        <f t="shared" ca="1" si="0"/>
        <v>Open</v>
      </c>
      <c r="J26" s="8" t="s">
        <v>350</v>
      </c>
      <c r="K26" s="8" t="s">
        <v>100</v>
      </c>
      <c r="L26" s="8" t="s">
        <v>351</v>
      </c>
      <c r="M26" s="8" t="s">
        <v>352</v>
      </c>
      <c r="N26" s="8"/>
      <c r="O26" s="8" t="s">
        <v>54</v>
      </c>
      <c r="P26" s="8" t="s">
        <v>353</v>
      </c>
      <c r="Q26" s="8" t="s">
        <v>161</v>
      </c>
      <c r="R26" s="8" t="s">
        <v>354</v>
      </c>
      <c r="S26" s="8" t="s">
        <v>355</v>
      </c>
      <c r="T26" s="8"/>
      <c r="U26" s="8" t="s">
        <v>356</v>
      </c>
      <c r="V26" s="8" t="s">
        <v>357</v>
      </c>
      <c r="W26" s="8" t="s">
        <v>358</v>
      </c>
      <c r="X26" s="11"/>
      <c r="Y26" s="11"/>
      <c r="Z26" s="11"/>
      <c r="AA26" s="8" t="s">
        <v>64</v>
      </c>
    </row>
    <row r="27" spans="1:27" ht="52.8" x14ac:dyDescent="0.3">
      <c r="A27" s="8">
        <v>26</v>
      </c>
      <c r="B27" s="9" t="s">
        <v>359</v>
      </c>
      <c r="C27" s="8" t="s">
        <v>252</v>
      </c>
      <c r="D27" s="8"/>
      <c r="E27" s="8">
        <v>130</v>
      </c>
      <c r="F27" s="8" t="s">
        <v>360</v>
      </c>
      <c r="G27" s="8" t="s">
        <v>129</v>
      </c>
      <c r="H27" s="10">
        <v>46351</v>
      </c>
      <c r="I27" s="8" t="str">
        <f t="shared" ca="1" si="0"/>
        <v>Open</v>
      </c>
      <c r="J27" s="8" t="s">
        <v>361</v>
      </c>
      <c r="K27" s="8" t="s">
        <v>100</v>
      </c>
      <c r="L27" s="8" t="s">
        <v>362</v>
      </c>
      <c r="M27" s="8" t="s">
        <v>256</v>
      </c>
      <c r="N27" s="8" t="s">
        <v>363</v>
      </c>
      <c r="O27" s="8" t="s">
        <v>117</v>
      </c>
      <c r="P27" s="8" t="s">
        <v>55</v>
      </c>
      <c r="Q27" s="8" t="s">
        <v>90</v>
      </c>
      <c r="R27" s="8" t="s">
        <v>364</v>
      </c>
      <c r="S27" s="8" t="s">
        <v>365</v>
      </c>
      <c r="T27" s="8"/>
      <c r="U27" s="8" t="s">
        <v>59</v>
      </c>
      <c r="V27" s="8"/>
      <c r="W27" s="8" t="s">
        <v>366</v>
      </c>
      <c r="X27" s="11"/>
      <c r="Y27" s="11"/>
      <c r="Z27" s="11"/>
      <c r="AA27" s="8" t="s">
        <v>64</v>
      </c>
    </row>
    <row r="28" spans="1:27" ht="132" x14ac:dyDescent="0.3">
      <c r="A28" s="8">
        <v>27</v>
      </c>
      <c r="B28" s="9" t="s">
        <v>367</v>
      </c>
      <c r="C28" s="8" t="s">
        <v>368</v>
      </c>
      <c r="D28" s="8" t="s">
        <v>369</v>
      </c>
      <c r="E28" s="8">
        <v>89</v>
      </c>
      <c r="F28" s="8"/>
      <c r="G28" s="8" t="s">
        <v>157</v>
      </c>
      <c r="H28" s="10">
        <v>46352</v>
      </c>
      <c r="I28" s="8" t="str">
        <f t="shared" ca="1" si="0"/>
        <v>Open</v>
      </c>
      <c r="J28" s="8"/>
      <c r="K28" s="8" t="s">
        <v>100</v>
      </c>
      <c r="L28" s="8" t="s">
        <v>370</v>
      </c>
      <c r="M28" s="8" t="s">
        <v>371</v>
      </c>
      <c r="N28" s="8"/>
      <c r="O28" s="8" t="s">
        <v>133</v>
      </c>
      <c r="P28" s="8" t="s">
        <v>372</v>
      </c>
      <c r="Q28" s="8" t="s">
        <v>373</v>
      </c>
      <c r="R28" s="8" t="s">
        <v>374</v>
      </c>
      <c r="S28" s="8" t="s">
        <v>375</v>
      </c>
      <c r="T28" s="8"/>
      <c r="U28" s="8" t="s">
        <v>376</v>
      </c>
      <c r="V28" s="8" t="s">
        <v>377</v>
      </c>
      <c r="W28" s="8" t="s">
        <v>378</v>
      </c>
      <c r="X28" s="11"/>
      <c r="Y28" s="11"/>
      <c r="Z28" s="11"/>
      <c r="AA28" s="8" t="s">
        <v>64</v>
      </c>
    </row>
    <row r="29" spans="1:27" ht="132" x14ac:dyDescent="0.3">
      <c r="A29" s="8">
        <v>28</v>
      </c>
      <c r="B29" s="9" t="s">
        <v>379</v>
      </c>
      <c r="C29" s="8" t="s">
        <v>380</v>
      </c>
      <c r="D29" s="8" t="s">
        <v>381</v>
      </c>
      <c r="E29" s="8">
        <v>501</v>
      </c>
      <c r="F29" s="8"/>
      <c r="G29" s="8" t="s">
        <v>382</v>
      </c>
      <c r="H29" s="10">
        <v>46352</v>
      </c>
      <c r="I29" s="8" t="str">
        <f t="shared" ca="1" si="0"/>
        <v>Open</v>
      </c>
      <c r="J29" s="8"/>
      <c r="K29" s="8" t="s">
        <v>100</v>
      </c>
      <c r="L29" s="8" t="s">
        <v>383</v>
      </c>
      <c r="M29" s="8" t="s">
        <v>384</v>
      </c>
      <c r="N29" s="8"/>
      <c r="O29" s="8" t="s">
        <v>133</v>
      </c>
      <c r="P29" s="8" t="s">
        <v>385</v>
      </c>
      <c r="Q29" s="8"/>
      <c r="R29" s="8" t="s">
        <v>386</v>
      </c>
      <c r="S29" s="8" t="s">
        <v>387</v>
      </c>
      <c r="T29" s="8"/>
      <c r="U29" s="8" t="s">
        <v>121</v>
      </c>
      <c r="V29" s="8" t="s">
        <v>388</v>
      </c>
      <c r="W29" s="8" t="s">
        <v>389</v>
      </c>
      <c r="X29" s="11"/>
      <c r="Y29" s="11"/>
      <c r="Z29" s="11"/>
      <c r="AA29" s="8" t="s">
        <v>64</v>
      </c>
    </row>
    <row r="30" spans="1:27" ht="145.19999999999999" x14ac:dyDescent="0.3">
      <c r="A30" s="8">
        <v>29</v>
      </c>
      <c r="B30" s="9" t="s">
        <v>390</v>
      </c>
      <c r="C30" s="8" t="s">
        <v>391</v>
      </c>
      <c r="D30" s="8" t="s">
        <v>392</v>
      </c>
      <c r="E30" s="8">
        <v>1784</v>
      </c>
      <c r="F30" s="8" t="s">
        <v>393</v>
      </c>
      <c r="G30" s="8" t="s">
        <v>394</v>
      </c>
      <c r="H30" s="10">
        <v>46357</v>
      </c>
      <c r="I30" s="8" t="str">
        <f t="shared" ca="1" si="0"/>
        <v>Open</v>
      </c>
      <c r="J30" s="8" t="s">
        <v>395</v>
      </c>
      <c r="K30" s="8" t="s">
        <v>100</v>
      </c>
      <c r="L30" s="8" t="s">
        <v>396</v>
      </c>
      <c r="M30" s="8" t="s">
        <v>397</v>
      </c>
      <c r="N30" s="8" t="s">
        <v>73</v>
      </c>
      <c r="O30" s="8" t="s">
        <v>117</v>
      </c>
      <c r="P30" s="8" t="s">
        <v>134</v>
      </c>
      <c r="Q30" s="8" t="s">
        <v>398</v>
      </c>
      <c r="R30" s="8" t="s">
        <v>399</v>
      </c>
      <c r="S30" s="8" t="s">
        <v>400</v>
      </c>
      <c r="T30" s="8" t="s">
        <v>401</v>
      </c>
      <c r="U30" s="8" t="s">
        <v>59</v>
      </c>
      <c r="V30" s="8"/>
      <c r="W30" s="8" t="s">
        <v>402</v>
      </c>
      <c r="X30" s="11"/>
      <c r="Y30" s="11"/>
      <c r="Z30" s="11"/>
      <c r="AA30" s="8" t="s">
        <v>64</v>
      </c>
    </row>
    <row r="31" spans="1:27" ht="52.8" x14ac:dyDescent="0.3">
      <c r="A31" s="8">
        <v>30</v>
      </c>
      <c r="B31" s="9" t="s">
        <v>403</v>
      </c>
      <c r="C31" s="8" t="s">
        <v>404</v>
      </c>
      <c r="D31" s="8" t="s">
        <v>405</v>
      </c>
      <c r="E31" s="8">
        <v>458</v>
      </c>
      <c r="F31" s="8"/>
      <c r="G31" s="8" t="s">
        <v>406</v>
      </c>
      <c r="H31" s="10">
        <v>46387</v>
      </c>
      <c r="I31" s="8" t="str">
        <f t="shared" ca="1" si="0"/>
        <v>Open</v>
      </c>
      <c r="J31" s="8"/>
      <c r="K31" s="8" t="s">
        <v>100</v>
      </c>
      <c r="L31" s="8" t="s">
        <v>407</v>
      </c>
      <c r="M31" s="8" t="s">
        <v>408</v>
      </c>
      <c r="N31" s="8"/>
      <c r="O31" s="8"/>
      <c r="P31" s="8" t="s">
        <v>134</v>
      </c>
      <c r="Q31" s="8" t="s">
        <v>409</v>
      </c>
      <c r="R31" s="8" t="s">
        <v>410</v>
      </c>
      <c r="S31" s="8" t="s">
        <v>411</v>
      </c>
      <c r="T31" s="8"/>
      <c r="U31" s="8" t="s">
        <v>412</v>
      </c>
      <c r="V31" s="8" t="s">
        <v>413</v>
      </c>
      <c r="W31" s="8" t="s">
        <v>414</v>
      </c>
      <c r="X31" s="11"/>
      <c r="Y31" s="11"/>
      <c r="Z31" s="11"/>
      <c r="AA31" s="8" t="s">
        <v>64</v>
      </c>
    </row>
  </sheetData>
  <autoFilter ref="A1:AA31" xr:uid="{00000000-0009-0000-0000-000002000000}"/>
  <conditionalFormatting sqref="I2:I31">
    <cfRule type="cellIs" dxfId="2" priority="2" operator="equal">
      <formula>"Open"</formula>
    </cfRule>
    <cfRule type="cellIs" dxfId="1" priority="3" operator="equal">
      <formula>"Closed"</formula>
    </cfRule>
  </conditionalFormatting>
  <dataValidations count="1">
    <dataValidation type="list" allowBlank="1" sqref="AA2:AA31" xr:uid="{00000000-0002-0000-02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5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2" width="44" customWidth="1"/>
    <col min="3" max="3" width="11" customWidth="1"/>
    <col min="4" max="4" width="60" customWidth="1"/>
  </cols>
  <sheetData>
    <row r="1" spans="1:4" ht="33.75" customHeight="1" x14ac:dyDescent="0.3">
      <c r="A1" s="6" t="s">
        <v>415</v>
      </c>
      <c r="B1" s="6" t="s">
        <v>416</v>
      </c>
      <c r="C1" s="6" t="s">
        <v>417</v>
      </c>
      <c r="D1" s="6" t="s">
        <v>418</v>
      </c>
    </row>
    <row r="2" spans="1:4" ht="26.4" x14ac:dyDescent="0.3">
      <c r="A2" s="8" t="s">
        <v>45</v>
      </c>
      <c r="B2" s="8" t="s">
        <v>419</v>
      </c>
      <c r="C2" s="8">
        <v>8</v>
      </c>
      <c r="D2" s="8" t="s">
        <v>420</v>
      </c>
    </row>
    <row r="3" spans="1:4" ht="26.4" x14ac:dyDescent="0.3">
      <c r="A3" s="8" t="s">
        <v>45</v>
      </c>
      <c r="B3" s="8" t="s">
        <v>421</v>
      </c>
      <c r="C3" s="8">
        <v>6</v>
      </c>
      <c r="D3" s="8" t="s">
        <v>422</v>
      </c>
    </row>
    <row r="4" spans="1:4" ht="26.4" x14ac:dyDescent="0.3">
      <c r="A4" s="8" t="s">
        <v>45</v>
      </c>
      <c r="B4" s="8" t="s">
        <v>423</v>
      </c>
      <c r="C4" s="8">
        <v>6</v>
      </c>
      <c r="D4" s="8" t="s">
        <v>424</v>
      </c>
    </row>
    <row r="5" spans="1:4" ht="26.4" x14ac:dyDescent="0.3">
      <c r="A5" s="8" t="s">
        <v>45</v>
      </c>
      <c r="B5" s="8" t="s">
        <v>425</v>
      </c>
      <c r="C5" s="8">
        <v>6</v>
      </c>
      <c r="D5" s="8" t="s">
        <v>424</v>
      </c>
    </row>
    <row r="6" spans="1:4" ht="26.4" x14ac:dyDescent="0.3">
      <c r="A6" s="8" t="s">
        <v>45</v>
      </c>
      <c r="B6" s="8" t="s">
        <v>426</v>
      </c>
      <c r="C6" s="8">
        <v>2</v>
      </c>
      <c r="D6" s="8" t="s">
        <v>424</v>
      </c>
    </row>
    <row r="7" spans="1:4" ht="26.4" x14ac:dyDescent="0.3">
      <c r="A7" s="8" t="s">
        <v>45</v>
      </c>
      <c r="B7" s="8" t="s">
        <v>427</v>
      </c>
      <c r="C7" s="8">
        <v>2</v>
      </c>
      <c r="D7" s="8" t="s">
        <v>424</v>
      </c>
    </row>
    <row r="8" spans="1:4" x14ac:dyDescent="0.3">
      <c r="A8" s="8" t="s">
        <v>65</v>
      </c>
      <c r="B8" s="8" t="s">
        <v>428</v>
      </c>
      <c r="C8" s="8" t="s">
        <v>429</v>
      </c>
      <c r="D8" s="8" t="s">
        <v>430</v>
      </c>
    </row>
    <row r="9" spans="1:4" x14ac:dyDescent="0.3">
      <c r="A9" s="8" t="s">
        <v>80</v>
      </c>
      <c r="B9" s="8" t="s">
        <v>431</v>
      </c>
      <c r="C9" s="8">
        <v>232</v>
      </c>
      <c r="D9" s="8" t="s">
        <v>432</v>
      </c>
    </row>
    <row r="10" spans="1:4" x14ac:dyDescent="0.3">
      <c r="A10" s="8" t="s">
        <v>94</v>
      </c>
      <c r="B10" s="8" t="s">
        <v>433</v>
      </c>
      <c r="C10" s="8">
        <v>3847</v>
      </c>
      <c r="D10" s="8" t="s">
        <v>434</v>
      </c>
    </row>
    <row r="11" spans="1:4" x14ac:dyDescent="0.3">
      <c r="A11" s="8" t="s">
        <v>94</v>
      </c>
      <c r="B11" s="8" t="s">
        <v>435</v>
      </c>
      <c r="C11" s="8">
        <v>8563</v>
      </c>
      <c r="D11" s="8" t="s">
        <v>436</v>
      </c>
    </row>
    <row r="12" spans="1:4" x14ac:dyDescent="0.3">
      <c r="A12" s="8" t="s">
        <v>94</v>
      </c>
      <c r="B12" s="8" t="s">
        <v>437</v>
      </c>
      <c r="C12" s="8">
        <v>4370</v>
      </c>
      <c r="D12" s="8" t="s">
        <v>438</v>
      </c>
    </row>
    <row r="13" spans="1:4" x14ac:dyDescent="0.3">
      <c r="A13" s="8" t="s">
        <v>94</v>
      </c>
      <c r="B13" s="8" t="s">
        <v>439</v>
      </c>
      <c r="C13" s="8">
        <v>16540</v>
      </c>
      <c r="D13" s="8" t="s">
        <v>440</v>
      </c>
    </row>
    <row r="14" spans="1:4" ht="26.4" x14ac:dyDescent="0.3">
      <c r="A14" s="8" t="s">
        <v>111</v>
      </c>
      <c r="B14" s="8" t="s">
        <v>441</v>
      </c>
      <c r="C14" s="8">
        <v>189</v>
      </c>
      <c r="D14" s="8" t="s">
        <v>442</v>
      </c>
    </row>
    <row r="15" spans="1:4" ht="26.4" x14ac:dyDescent="0.3">
      <c r="A15" s="8" t="s">
        <v>111</v>
      </c>
      <c r="B15" s="8" t="s">
        <v>443</v>
      </c>
      <c r="C15" s="8">
        <v>151</v>
      </c>
      <c r="D15" s="8" t="s">
        <v>442</v>
      </c>
    </row>
    <row r="16" spans="1:4" ht="26.4" x14ac:dyDescent="0.3">
      <c r="A16" s="8" t="s">
        <v>111</v>
      </c>
      <c r="B16" s="8" t="s">
        <v>444</v>
      </c>
      <c r="C16" s="8">
        <v>139</v>
      </c>
      <c r="D16" s="8" t="s">
        <v>442</v>
      </c>
    </row>
    <row r="17" spans="1:4" ht="26.4" x14ac:dyDescent="0.3">
      <c r="A17" s="8" t="s">
        <v>111</v>
      </c>
      <c r="B17" s="8" t="s">
        <v>445</v>
      </c>
      <c r="C17" s="8">
        <v>91</v>
      </c>
      <c r="D17" s="8" t="s">
        <v>442</v>
      </c>
    </row>
    <row r="18" spans="1:4" ht="26.4" x14ac:dyDescent="0.3">
      <c r="A18" s="8" t="s">
        <v>111</v>
      </c>
      <c r="B18" s="8" t="s">
        <v>446</v>
      </c>
      <c r="C18" s="8">
        <v>27</v>
      </c>
      <c r="D18" s="8" t="s">
        <v>442</v>
      </c>
    </row>
    <row r="19" spans="1:4" ht="26.4" x14ac:dyDescent="0.3">
      <c r="A19" s="8" t="s">
        <v>111</v>
      </c>
      <c r="B19" s="8" t="s">
        <v>447</v>
      </c>
      <c r="C19" s="8">
        <v>23</v>
      </c>
      <c r="D19" s="8" t="s">
        <v>442</v>
      </c>
    </row>
    <row r="20" spans="1:4" ht="26.4" x14ac:dyDescent="0.3">
      <c r="A20" s="8" t="s">
        <v>111</v>
      </c>
      <c r="B20" s="8" t="s">
        <v>448</v>
      </c>
      <c r="C20" s="8">
        <v>17</v>
      </c>
      <c r="D20" s="8" t="s">
        <v>442</v>
      </c>
    </row>
    <row r="21" spans="1:4" ht="26.4" x14ac:dyDescent="0.3">
      <c r="A21" s="8" t="s">
        <v>111</v>
      </c>
      <c r="B21" s="8" t="s">
        <v>449</v>
      </c>
      <c r="C21" s="8">
        <v>3</v>
      </c>
      <c r="D21" s="8" t="s">
        <v>442</v>
      </c>
    </row>
    <row r="22" spans="1:4" ht="26.4" x14ac:dyDescent="0.3">
      <c r="A22" s="8" t="s">
        <v>111</v>
      </c>
      <c r="B22" s="8" t="s">
        <v>450</v>
      </c>
      <c r="C22" s="8">
        <v>1</v>
      </c>
      <c r="D22" s="8" t="s">
        <v>442</v>
      </c>
    </row>
    <row r="23" spans="1:4" ht="26.4" x14ac:dyDescent="0.3">
      <c r="A23" s="8" t="s">
        <v>124</v>
      </c>
      <c r="B23" s="8" t="s">
        <v>451</v>
      </c>
      <c r="C23" s="8">
        <v>11508</v>
      </c>
      <c r="D23" s="8" t="s">
        <v>452</v>
      </c>
    </row>
    <row r="24" spans="1:4" ht="26.4" x14ac:dyDescent="0.3">
      <c r="A24" s="8" t="s">
        <v>124</v>
      </c>
      <c r="B24" s="8" t="s">
        <v>453</v>
      </c>
      <c r="C24" s="8">
        <v>897</v>
      </c>
      <c r="D24" s="8" t="s">
        <v>454</v>
      </c>
    </row>
    <row r="25" spans="1:4" x14ac:dyDescent="0.3">
      <c r="A25" s="8" t="s">
        <v>140</v>
      </c>
      <c r="B25" s="8" t="s">
        <v>455</v>
      </c>
      <c r="C25" s="8">
        <v>2610</v>
      </c>
      <c r="D25" s="8" t="s">
        <v>442</v>
      </c>
    </row>
    <row r="26" spans="1:4" x14ac:dyDescent="0.3">
      <c r="A26" s="8" t="s">
        <v>140</v>
      </c>
      <c r="B26" s="8" t="s">
        <v>456</v>
      </c>
      <c r="C26" s="8">
        <v>856</v>
      </c>
      <c r="D26" s="8" t="s">
        <v>442</v>
      </c>
    </row>
    <row r="27" spans="1:4" x14ac:dyDescent="0.3">
      <c r="A27" s="8" t="s">
        <v>140</v>
      </c>
      <c r="B27" s="8" t="s">
        <v>457</v>
      </c>
      <c r="C27" s="8">
        <v>422</v>
      </c>
      <c r="D27" s="8" t="s">
        <v>442</v>
      </c>
    </row>
    <row r="28" spans="1:4" x14ac:dyDescent="0.3">
      <c r="A28" s="8" t="s">
        <v>140</v>
      </c>
      <c r="B28" s="8" t="s">
        <v>458</v>
      </c>
      <c r="C28" s="8">
        <v>377</v>
      </c>
      <c r="D28" s="8" t="s">
        <v>442</v>
      </c>
    </row>
    <row r="29" spans="1:4" x14ac:dyDescent="0.3">
      <c r="A29" s="8" t="s">
        <v>140</v>
      </c>
      <c r="B29" s="8" t="s">
        <v>459</v>
      </c>
      <c r="C29" s="8">
        <v>291</v>
      </c>
      <c r="D29" s="8" t="s">
        <v>442</v>
      </c>
    </row>
    <row r="30" spans="1:4" x14ac:dyDescent="0.3">
      <c r="A30" s="8" t="s">
        <v>140</v>
      </c>
      <c r="B30" s="8" t="s">
        <v>460</v>
      </c>
      <c r="C30" s="8">
        <v>260</v>
      </c>
      <c r="D30" s="8" t="s">
        <v>442</v>
      </c>
    </row>
    <row r="31" spans="1:4" x14ac:dyDescent="0.3">
      <c r="A31" s="8" t="s">
        <v>140</v>
      </c>
      <c r="B31" s="8" t="s">
        <v>461</v>
      </c>
      <c r="C31" s="8">
        <v>252</v>
      </c>
      <c r="D31" s="8" t="s">
        <v>442</v>
      </c>
    </row>
    <row r="32" spans="1:4" x14ac:dyDescent="0.3">
      <c r="A32" s="8" t="s">
        <v>140</v>
      </c>
      <c r="B32" s="8" t="s">
        <v>462</v>
      </c>
      <c r="C32" s="8">
        <v>209</v>
      </c>
      <c r="D32" s="8" t="s">
        <v>442</v>
      </c>
    </row>
    <row r="33" spans="1:4" x14ac:dyDescent="0.3">
      <c r="A33" s="8" t="s">
        <v>140</v>
      </c>
      <c r="B33" s="8" t="s">
        <v>463</v>
      </c>
      <c r="C33" s="8">
        <v>145</v>
      </c>
      <c r="D33" s="8" t="s">
        <v>442</v>
      </c>
    </row>
    <row r="34" spans="1:4" x14ac:dyDescent="0.3">
      <c r="A34" s="8" t="s">
        <v>140</v>
      </c>
      <c r="B34" s="8" t="s">
        <v>464</v>
      </c>
      <c r="C34" s="8">
        <v>1152</v>
      </c>
      <c r="D34" s="8" t="s">
        <v>442</v>
      </c>
    </row>
    <row r="35" spans="1:4" x14ac:dyDescent="0.3">
      <c r="A35" s="8" t="s">
        <v>153</v>
      </c>
      <c r="B35" s="8" t="s">
        <v>465</v>
      </c>
      <c r="C35" s="8">
        <v>3477</v>
      </c>
      <c r="D35" s="8" t="s">
        <v>442</v>
      </c>
    </row>
    <row r="36" spans="1:4" x14ac:dyDescent="0.3">
      <c r="A36" s="8" t="s">
        <v>167</v>
      </c>
      <c r="B36" s="8" t="s">
        <v>466</v>
      </c>
      <c r="C36" s="8">
        <v>845</v>
      </c>
      <c r="D36" s="8" t="s">
        <v>467</v>
      </c>
    </row>
    <row r="37" spans="1:4" x14ac:dyDescent="0.3">
      <c r="A37" s="8" t="s">
        <v>167</v>
      </c>
      <c r="B37" s="8" t="s">
        <v>468</v>
      </c>
      <c r="C37" s="8">
        <v>543</v>
      </c>
      <c r="D37" s="8" t="s">
        <v>467</v>
      </c>
    </row>
    <row r="38" spans="1:4" x14ac:dyDescent="0.3">
      <c r="A38" s="8" t="s">
        <v>167</v>
      </c>
      <c r="B38" s="8" t="s">
        <v>469</v>
      </c>
      <c r="C38" s="8">
        <v>182</v>
      </c>
      <c r="D38" s="8" t="s">
        <v>467</v>
      </c>
    </row>
    <row r="39" spans="1:4" x14ac:dyDescent="0.3">
      <c r="A39" s="8" t="s">
        <v>167</v>
      </c>
      <c r="B39" s="8" t="s">
        <v>470</v>
      </c>
      <c r="C39" s="8">
        <v>295</v>
      </c>
      <c r="D39" s="8" t="s">
        <v>467</v>
      </c>
    </row>
    <row r="40" spans="1:4" x14ac:dyDescent="0.3">
      <c r="A40" s="8" t="s">
        <v>167</v>
      </c>
      <c r="B40" s="8" t="s">
        <v>471</v>
      </c>
      <c r="C40" s="8">
        <v>143</v>
      </c>
      <c r="D40" s="8" t="s">
        <v>467</v>
      </c>
    </row>
    <row r="41" spans="1:4" x14ac:dyDescent="0.3">
      <c r="A41" s="8" t="s">
        <v>180</v>
      </c>
      <c r="B41" s="8" t="s">
        <v>472</v>
      </c>
      <c r="C41" s="8">
        <v>700</v>
      </c>
      <c r="D41" s="8" t="s">
        <v>442</v>
      </c>
    </row>
    <row r="42" spans="1:4" x14ac:dyDescent="0.3">
      <c r="A42" s="8" t="s">
        <v>180</v>
      </c>
      <c r="B42" s="8" t="s">
        <v>473</v>
      </c>
      <c r="C42" s="8">
        <v>367</v>
      </c>
      <c r="D42" s="8" t="s">
        <v>442</v>
      </c>
    </row>
    <row r="43" spans="1:4" x14ac:dyDescent="0.3">
      <c r="A43" s="8" t="s">
        <v>192</v>
      </c>
      <c r="B43" s="8" t="s">
        <v>474</v>
      </c>
      <c r="C43" s="8">
        <v>40</v>
      </c>
      <c r="D43" s="8" t="s">
        <v>442</v>
      </c>
    </row>
    <row r="44" spans="1:4" x14ac:dyDescent="0.3">
      <c r="A44" s="8" t="s">
        <v>192</v>
      </c>
      <c r="B44" s="8" t="s">
        <v>469</v>
      </c>
      <c r="C44" s="8">
        <v>8</v>
      </c>
      <c r="D44" s="8" t="s">
        <v>442</v>
      </c>
    </row>
    <row r="45" spans="1:4" x14ac:dyDescent="0.3">
      <c r="A45" s="8" t="s">
        <v>192</v>
      </c>
      <c r="B45" s="8" t="s">
        <v>475</v>
      </c>
      <c r="C45" s="8">
        <v>19</v>
      </c>
      <c r="D45" s="8" t="s">
        <v>442</v>
      </c>
    </row>
    <row r="46" spans="1:4" x14ac:dyDescent="0.3">
      <c r="A46" s="8" t="s">
        <v>192</v>
      </c>
      <c r="B46" s="8" t="s">
        <v>470</v>
      </c>
      <c r="C46" s="8">
        <v>7</v>
      </c>
      <c r="D46" s="8" t="s">
        <v>442</v>
      </c>
    </row>
    <row r="47" spans="1:4" x14ac:dyDescent="0.3">
      <c r="A47" s="8" t="s">
        <v>192</v>
      </c>
      <c r="B47" s="8" t="s">
        <v>471</v>
      </c>
      <c r="C47" s="8">
        <v>10</v>
      </c>
      <c r="D47" s="8" t="s">
        <v>442</v>
      </c>
    </row>
    <row r="48" spans="1:4" ht="26.4" x14ac:dyDescent="0.3">
      <c r="A48" s="8" t="s">
        <v>205</v>
      </c>
      <c r="B48" s="8" t="s">
        <v>476</v>
      </c>
      <c r="C48" s="8">
        <v>90</v>
      </c>
      <c r="D48" s="8" t="s">
        <v>477</v>
      </c>
    </row>
    <row r="49" spans="1:4" ht="26.4" x14ac:dyDescent="0.3">
      <c r="A49" s="8" t="s">
        <v>217</v>
      </c>
      <c r="B49" s="8" t="s">
        <v>478</v>
      </c>
      <c r="C49" s="8">
        <v>24</v>
      </c>
      <c r="D49" s="8" t="s">
        <v>442</v>
      </c>
    </row>
    <row r="50" spans="1:4" ht="26.4" x14ac:dyDescent="0.3">
      <c r="A50" s="8" t="s">
        <v>217</v>
      </c>
      <c r="B50" s="8" t="s">
        <v>479</v>
      </c>
      <c r="C50" s="8">
        <v>8</v>
      </c>
      <c r="D50" s="8" t="s">
        <v>442</v>
      </c>
    </row>
    <row r="51" spans="1:4" ht="26.4" x14ac:dyDescent="0.3">
      <c r="A51" s="8" t="s">
        <v>217</v>
      </c>
      <c r="B51" s="8" t="s">
        <v>480</v>
      </c>
      <c r="C51" s="8">
        <v>4</v>
      </c>
      <c r="D51" s="8" t="s">
        <v>442</v>
      </c>
    </row>
    <row r="52" spans="1:4" ht="26.4" x14ac:dyDescent="0.3">
      <c r="A52" s="8" t="s">
        <v>217</v>
      </c>
      <c r="B52" s="8" t="s">
        <v>481</v>
      </c>
      <c r="C52" s="8">
        <v>5</v>
      </c>
      <c r="D52" s="8" t="s">
        <v>442</v>
      </c>
    </row>
    <row r="53" spans="1:4" ht="26.4" x14ac:dyDescent="0.3">
      <c r="A53" s="8" t="s">
        <v>217</v>
      </c>
      <c r="B53" s="8" t="s">
        <v>482</v>
      </c>
      <c r="C53" s="8">
        <v>1</v>
      </c>
      <c r="D53" s="8" t="s">
        <v>442</v>
      </c>
    </row>
    <row r="54" spans="1:4" ht="26.4" x14ac:dyDescent="0.3">
      <c r="A54" s="8" t="s">
        <v>217</v>
      </c>
      <c r="B54" s="8" t="s">
        <v>483</v>
      </c>
      <c r="C54" s="8">
        <v>2</v>
      </c>
      <c r="D54" s="8" t="s">
        <v>442</v>
      </c>
    </row>
    <row r="55" spans="1:4" ht="26.4" x14ac:dyDescent="0.3">
      <c r="A55" s="8" t="s">
        <v>217</v>
      </c>
      <c r="B55" s="8" t="s">
        <v>484</v>
      </c>
      <c r="C55" s="8">
        <v>1</v>
      </c>
      <c r="D55" s="8" t="s">
        <v>442</v>
      </c>
    </row>
    <row r="56" spans="1:4" ht="26.4" x14ac:dyDescent="0.3">
      <c r="A56" s="8" t="s">
        <v>217</v>
      </c>
      <c r="B56" s="8" t="s">
        <v>485</v>
      </c>
      <c r="C56" s="8">
        <v>1</v>
      </c>
      <c r="D56" s="8" t="s">
        <v>442</v>
      </c>
    </row>
    <row r="57" spans="1:4" ht="26.4" x14ac:dyDescent="0.3">
      <c r="A57" s="8" t="s">
        <v>217</v>
      </c>
      <c r="B57" s="8" t="s">
        <v>486</v>
      </c>
      <c r="C57" s="8">
        <v>3</v>
      </c>
      <c r="D57" s="8" t="s">
        <v>442</v>
      </c>
    </row>
    <row r="58" spans="1:4" ht="26.4" x14ac:dyDescent="0.3">
      <c r="A58" s="8" t="s">
        <v>217</v>
      </c>
      <c r="B58" s="8" t="s">
        <v>487</v>
      </c>
      <c r="C58" s="8">
        <v>2</v>
      </c>
      <c r="D58" s="8" t="s">
        <v>442</v>
      </c>
    </row>
    <row r="59" spans="1:4" ht="26.4" x14ac:dyDescent="0.3">
      <c r="A59" s="8" t="s">
        <v>217</v>
      </c>
      <c r="B59" s="8" t="s">
        <v>488</v>
      </c>
      <c r="C59" s="8">
        <v>10</v>
      </c>
      <c r="D59" s="8" t="s">
        <v>489</v>
      </c>
    </row>
    <row r="60" spans="1:4" ht="26.4" x14ac:dyDescent="0.3">
      <c r="A60" s="8" t="s">
        <v>230</v>
      </c>
      <c r="B60" s="8" t="s">
        <v>490</v>
      </c>
      <c r="C60" s="8">
        <v>1688</v>
      </c>
      <c r="D60" s="8" t="s">
        <v>442</v>
      </c>
    </row>
    <row r="61" spans="1:4" ht="26.4" x14ac:dyDescent="0.3">
      <c r="A61" s="8" t="s">
        <v>240</v>
      </c>
      <c r="B61" s="8" t="s">
        <v>491</v>
      </c>
      <c r="C61" s="8">
        <v>78</v>
      </c>
      <c r="D61" s="8" t="s">
        <v>442</v>
      </c>
    </row>
    <row r="62" spans="1:4" ht="26.4" x14ac:dyDescent="0.3">
      <c r="A62" s="8" t="s">
        <v>240</v>
      </c>
      <c r="B62" s="8" t="s">
        <v>492</v>
      </c>
      <c r="C62" s="8">
        <v>78</v>
      </c>
      <c r="D62" s="8" t="s">
        <v>442</v>
      </c>
    </row>
    <row r="63" spans="1:4" ht="26.4" x14ac:dyDescent="0.3">
      <c r="A63" s="8" t="s">
        <v>240</v>
      </c>
      <c r="B63" s="8" t="s">
        <v>493</v>
      </c>
      <c r="C63" s="8">
        <v>70</v>
      </c>
      <c r="D63" s="8" t="s">
        <v>442</v>
      </c>
    </row>
    <row r="64" spans="1:4" ht="26.4" x14ac:dyDescent="0.3">
      <c r="A64" s="8" t="s">
        <v>240</v>
      </c>
      <c r="B64" s="8" t="s">
        <v>494</v>
      </c>
      <c r="C64" s="8">
        <v>68</v>
      </c>
      <c r="D64" s="8" t="s">
        <v>442</v>
      </c>
    </row>
    <row r="65" spans="1:4" ht="26.4" x14ac:dyDescent="0.3">
      <c r="A65" s="8" t="s">
        <v>240</v>
      </c>
      <c r="B65" s="8" t="s">
        <v>495</v>
      </c>
      <c r="C65" s="8">
        <v>22</v>
      </c>
      <c r="D65" s="8" t="s">
        <v>442</v>
      </c>
    </row>
    <row r="66" spans="1:4" ht="26.4" x14ac:dyDescent="0.3">
      <c r="A66" s="8" t="s">
        <v>240</v>
      </c>
      <c r="B66" s="8" t="s">
        <v>496</v>
      </c>
      <c r="C66" s="8">
        <v>10</v>
      </c>
      <c r="D66" s="8" t="s">
        <v>442</v>
      </c>
    </row>
    <row r="67" spans="1:4" ht="26.4" x14ac:dyDescent="0.3">
      <c r="A67" s="8" t="s">
        <v>240</v>
      </c>
      <c r="B67" s="8" t="s">
        <v>497</v>
      </c>
      <c r="C67" s="8">
        <v>5</v>
      </c>
      <c r="D67" s="8" t="s">
        <v>442</v>
      </c>
    </row>
    <row r="68" spans="1:4" ht="26.4" x14ac:dyDescent="0.3">
      <c r="A68" s="8" t="s">
        <v>240</v>
      </c>
      <c r="B68" s="8" t="s">
        <v>498</v>
      </c>
      <c r="C68" s="8">
        <v>4</v>
      </c>
      <c r="D68" s="8" t="s">
        <v>442</v>
      </c>
    </row>
    <row r="69" spans="1:4" ht="26.4" x14ac:dyDescent="0.3">
      <c r="A69" s="8" t="s">
        <v>251</v>
      </c>
      <c r="B69" s="8" t="s">
        <v>499</v>
      </c>
      <c r="C69" s="8">
        <v>20</v>
      </c>
      <c r="D69" s="8" t="s">
        <v>500</v>
      </c>
    </row>
    <row r="70" spans="1:4" x14ac:dyDescent="0.3">
      <c r="A70" s="8" t="s">
        <v>262</v>
      </c>
      <c r="B70" s="8" t="s">
        <v>501</v>
      </c>
      <c r="C70" s="8">
        <v>200</v>
      </c>
      <c r="D70" s="8" t="s">
        <v>442</v>
      </c>
    </row>
    <row r="71" spans="1:4" x14ac:dyDescent="0.3">
      <c r="A71" s="8" t="s">
        <v>262</v>
      </c>
      <c r="B71" s="8" t="s">
        <v>502</v>
      </c>
      <c r="C71" s="8">
        <v>150</v>
      </c>
      <c r="D71" s="8" t="s">
        <v>442</v>
      </c>
    </row>
    <row r="72" spans="1:4" x14ac:dyDescent="0.3">
      <c r="A72" s="8" t="s">
        <v>274</v>
      </c>
      <c r="B72" s="8" t="s">
        <v>503</v>
      </c>
      <c r="C72" s="8">
        <v>25</v>
      </c>
      <c r="D72" s="8" t="s">
        <v>442</v>
      </c>
    </row>
    <row r="73" spans="1:4" x14ac:dyDescent="0.3">
      <c r="A73" s="8" t="s">
        <v>274</v>
      </c>
      <c r="B73" s="8" t="s">
        <v>504</v>
      </c>
      <c r="C73" s="8">
        <v>16</v>
      </c>
      <c r="D73" s="8" t="s">
        <v>442</v>
      </c>
    </row>
    <row r="74" spans="1:4" x14ac:dyDescent="0.3">
      <c r="A74" s="8" t="s">
        <v>274</v>
      </c>
      <c r="B74" s="8" t="s">
        <v>505</v>
      </c>
      <c r="C74" s="8">
        <v>9</v>
      </c>
      <c r="D74" s="8" t="s">
        <v>442</v>
      </c>
    </row>
    <row r="75" spans="1:4" x14ac:dyDescent="0.3">
      <c r="A75" s="8" t="s">
        <v>274</v>
      </c>
      <c r="B75" s="8" t="s">
        <v>506</v>
      </c>
      <c r="C75" s="8">
        <v>5</v>
      </c>
      <c r="D75" s="8" t="s">
        <v>442</v>
      </c>
    </row>
    <row r="76" spans="1:4" x14ac:dyDescent="0.3">
      <c r="A76" s="8" t="s">
        <v>274</v>
      </c>
      <c r="B76" s="8" t="s">
        <v>507</v>
      </c>
      <c r="C76" s="8">
        <v>3</v>
      </c>
      <c r="D76" s="8" t="s">
        <v>442</v>
      </c>
    </row>
    <row r="77" spans="1:4" x14ac:dyDescent="0.3">
      <c r="A77" s="8" t="s">
        <v>274</v>
      </c>
      <c r="B77" s="8" t="s">
        <v>508</v>
      </c>
      <c r="C77" s="8">
        <v>2</v>
      </c>
      <c r="D77" s="8" t="s">
        <v>442</v>
      </c>
    </row>
    <row r="78" spans="1:4" x14ac:dyDescent="0.3">
      <c r="A78" s="8" t="s">
        <v>274</v>
      </c>
      <c r="B78" s="8" t="s">
        <v>509</v>
      </c>
      <c r="C78" s="8">
        <v>6</v>
      </c>
      <c r="D78" s="8" t="s">
        <v>442</v>
      </c>
    </row>
    <row r="79" spans="1:4" x14ac:dyDescent="0.3">
      <c r="A79" s="8" t="s">
        <v>274</v>
      </c>
      <c r="B79" s="8" t="s">
        <v>510</v>
      </c>
      <c r="C79" s="8">
        <v>4</v>
      </c>
      <c r="D79" s="8" t="s">
        <v>442</v>
      </c>
    </row>
    <row r="80" spans="1:4" x14ac:dyDescent="0.3">
      <c r="A80" s="8" t="s">
        <v>274</v>
      </c>
      <c r="B80" s="8" t="s">
        <v>511</v>
      </c>
      <c r="C80" s="8">
        <v>3</v>
      </c>
      <c r="D80" s="8" t="s">
        <v>442</v>
      </c>
    </row>
    <row r="81" spans="1:4" x14ac:dyDescent="0.3">
      <c r="A81" s="8" t="s">
        <v>274</v>
      </c>
      <c r="B81" s="8" t="s">
        <v>512</v>
      </c>
      <c r="C81" s="8">
        <v>3</v>
      </c>
      <c r="D81" s="8" t="s">
        <v>442</v>
      </c>
    </row>
    <row r="82" spans="1:4" x14ac:dyDescent="0.3">
      <c r="A82" s="8" t="s">
        <v>274</v>
      </c>
      <c r="B82" s="8" t="s">
        <v>513</v>
      </c>
      <c r="C82" s="8">
        <v>2</v>
      </c>
      <c r="D82" s="8" t="s">
        <v>442</v>
      </c>
    </row>
    <row r="83" spans="1:4" x14ac:dyDescent="0.3">
      <c r="A83" s="8" t="s">
        <v>274</v>
      </c>
      <c r="B83" s="8" t="s">
        <v>514</v>
      </c>
      <c r="C83" s="8">
        <v>2</v>
      </c>
      <c r="D83" s="8" t="s">
        <v>442</v>
      </c>
    </row>
    <row r="84" spans="1:4" x14ac:dyDescent="0.3">
      <c r="A84" s="8" t="s">
        <v>287</v>
      </c>
      <c r="B84" s="8" t="s">
        <v>515</v>
      </c>
      <c r="C84" s="8">
        <v>278</v>
      </c>
      <c r="D84" s="8" t="s">
        <v>516</v>
      </c>
    </row>
    <row r="85" spans="1:4" x14ac:dyDescent="0.3">
      <c r="A85" s="8" t="s">
        <v>287</v>
      </c>
      <c r="B85" s="8" t="s">
        <v>517</v>
      </c>
      <c r="C85" s="8">
        <v>104</v>
      </c>
      <c r="D85" s="8" t="s">
        <v>516</v>
      </c>
    </row>
    <row r="86" spans="1:4" x14ac:dyDescent="0.3">
      <c r="A86" s="8" t="s">
        <v>287</v>
      </c>
      <c r="B86" s="8" t="s">
        <v>518</v>
      </c>
      <c r="C86" s="8">
        <v>101</v>
      </c>
      <c r="D86" s="8" t="s">
        <v>516</v>
      </c>
    </row>
    <row r="87" spans="1:4" x14ac:dyDescent="0.3">
      <c r="A87" s="8" t="s">
        <v>287</v>
      </c>
      <c r="B87" s="8" t="s">
        <v>519</v>
      </c>
      <c r="C87" s="8">
        <v>90</v>
      </c>
      <c r="D87" s="8" t="s">
        <v>516</v>
      </c>
    </row>
    <row r="88" spans="1:4" x14ac:dyDescent="0.3">
      <c r="A88" s="8" t="s">
        <v>287</v>
      </c>
      <c r="B88" s="8" t="s">
        <v>520</v>
      </c>
      <c r="C88" s="8">
        <v>52</v>
      </c>
      <c r="D88" s="8" t="s">
        <v>516</v>
      </c>
    </row>
    <row r="89" spans="1:4" x14ac:dyDescent="0.3">
      <c r="A89" s="8" t="s">
        <v>287</v>
      </c>
      <c r="B89" s="8" t="s">
        <v>521</v>
      </c>
      <c r="C89" s="8">
        <v>23</v>
      </c>
      <c r="D89" s="8" t="s">
        <v>516</v>
      </c>
    </row>
    <row r="90" spans="1:4" x14ac:dyDescent="0.3">
      <c r="A90" s="8" t="s">
        <v>287</v>
      </c>
      <c r="B90" s="8" t="s">
        <v>522</v>
      </c>
      <c r="C90" s="8">
        <v>12</v>
      </c>
      <c r="D90" s="8" t="s">
        <v>516</v>
      </c>
    </row>
    <row r="91" spans="1:4" ht="26.4" x14ac:dyDescent="0.3">
      <c r="A91" s="8" t="s">
        <v>299</v>
      </c>
      <c r="B91" s="8" t="s">
        <v>523</v>
      </c>
      <c r="C91" s="8">
        <v>32</v>
      </c>
      <c r="D91" s="8" t="s">
        <v>524</v>
      </c>
    </row>
    <row r="92" spans="1:4" ht="26.4" x14ac:dyDescent="0.3">
      <c r="A92" s="8" t="s">
        <v>299</v>
      </c>
      <c r="B92" s="8" t="s">
        <v>525</v>
      </c>
      <c r="C92" s="8">
        <v>30</v>
      </c>
      <c r="D92" s="8" t="s">
        <v>526</v>
      </c>
    </row>
    <row r="93" spans="1:4" ht="26.4" x14ac:dyDescent="0.3">
      <c r="A93" s="8" t="s">
        <v>299</v>
      </c>
      <c r="B93" s="8" t="s">
        <v>527</v>
      </c>
      <c r="C93" s="8">
        <v>8</v>
      </c>
      <c r="D93" s="8" t="s">
        <v>528</v>
      </c>
    </row>
    <row r="94" spans="1:4" ht="26.4" x14ac:dyDescent="0.3">
      <c r="A94" s="8" t="s">
        <v>299</v>
      </c>
      <c r="B94" s="8" t="s">
        <v>529</v>
      </c>
      <c r="C94" s="8">
        <v>2</v>
      </c>
      <c r="D94" s="8" t="s">
        <v>530</v>
      </c>
    </row>
    <row r="95" spans="1:4" ht="26.4" x14ac:dyDescent="0.3">
      <c r="A95" s="8" t="s">
        <v>299</v>
      </c>
      <c r="B95" s="8" t="s">
        <v>531</v>
      </c>
      <c r="C95" s="8">
        <v>1</v>
      </c>
      <c r="D95" s="8" t="s">
        <v>532</v>
      </c>
    </row>
    <row r="96" spans="1:4" ht="26.4" x14ac:dyDescent="0.3">
      <c r="A96" s="8" t="s">
        <v>299</v>
      </c>
      <c r="B96" s="8" t="s">
        <v>533</v>
      </c>
      <c r="C96" s="8">
        <v>1</v>
      </c>
      <c r="D96" s="8" t="s">
        <v>534</v>
      </c>
    </row>
    <row r="97" spans="1:4" ht="26.4" x14ac:dyDescent="0.3">
      <c r="A97" s="8" t="s">
        <v>311</v>
      </c>
      <c r="B97" s="8" t="s">
        <v>535</v>
      </c>
      <c r="C97" s="8">
        <v>1038</v>
      </c>
      <c r="D97" s="8" t="s">
        <v>536</v>
      </c>
    </row>
    <row r="98" spans="1:4" x14ac:dyDescent="0.3">
      <c r="A98" s="8" t="s">
        <v>323</v>
      </c>
      <c r="B98" s="8" t="s">
        <v>537</v>
      </c>
      <c r="C98" s="8">
        <v>1037</v>
      </c>
      <c r="D98" s="8" t="s">
        <v>538</v>
      </c>
    </row>
    <row r="99" spans="1:4" x14ac:dyDescent="0.3">
      <c r="A99" s="8" t="s">
        <v>323</v>
      </c>
      <c r="B99" s="8" t="s">
        <v>539</v>
      </c>
      <c r="C99" s="8">
        <v>135</v>
      </c>
      <c r="D99" s="8" t="s">
        <v>540</v>
      </c>
    </row>
    <row r="100" spans="1:4" ht="26.4" x14ac:dyDescent="0.3">
      <c r="A100" s="8" t="s">
        <v>333</v>
      </c>
      <c r="B100" s="8" t="s">
        <v>541</v>
      </c>
      <c r="C100" s="8">
        <v>1318</v>
      </c>
      <c r="D100" s="8" t="s">
        <v>542</v>
      </c>
    </row>
    <row r="101" spans="1:4" ht="26.4" x14ac:dyDescent="0.3">
      <c r="A101" s="8" t="s">
        <v>333</v>
      </c>
      <c r="B101" s="8" t="s">
        <v>543</v>
      </c>
      <c r="C101" s="8">
        <v>157</v>
      </c>
      <c r="D101" s="8" t="s">
        <v>534</v>
      </c>
    </row>
    <row r="102" spans="1:4" ht="26.4" x14ac:dyDescent="0.3">
      <c r="A102" s="8" t="s">
        <v>338</v>
      </c>
      <c r="B102" s="8" t="s">
        <v>544</v>
      </c>
      <c r="C102" s="8">
        <v>2791</v>
      </c>
      <c r="D102" s="8" t="s">
        <v>545</v>
      </c>
    </row>
    <row r="103" spans="1:4" ht="26.4" x14ac:dyDescent="0.3">
      <c r="A103" s="8" t="s">
        <v>338</v>
      </c>
      <c r="B103" s="8" t="s">
        <v>546</v>
      </c>
      <c r="C103" s="8">
        <v>2517</v>
      </c>
      <c r="D103" s="8" t="s">
        <v>545</v>
      </c>
    </row>
    <row r="104" spans="1:4" ht="26.4" x14ac:dyDescent="0.3">
      <c r="A104" s="8" t="s">
        <v>338</v>
      </c>
      <c r="B104" s="8" t="s">
        <v>547</v>
      </c>
      <c r="C104" s="8">
        <v>2493</v>
      </c>
      <c r="D104" s="8" t="s">
        <v>545</v>
      </c>
    </row>
    <row r="105" spans="1:4" ht="26.4" x14ac:dyDescent="0.3">
      <c r="A105" s="8" t="s">
        <v>338</v>
      </c>
      <c r="B105" s="8" t="s">
        <v>548</v>
      </c>
      <c r="C105" s="8">
        <v>2482</v>
      </c>
      <c r="D105" s="8" t="s">
        <v>545</v>
      </c>
    </row>
    <row r="106" spans="1:4" ht="26.4" x14ac:dyDescent="0.3">
      <c r="A106" s="8" t="s">
        <v>338</v>
      </c>
      <c r="B106" s="8" t="s">
        <v>549</v>
      </c>
      <c r="C106" s="8">
        <v>2349</v>
      </c>
      <c r="D106" s="8" t="s">
        <v>545</v>
      </c>
    </row>
    <row r="107" spans="1:4" ht="26.4" x14ac:dyDescent="0.3">
      <c r="A107" s="8" t="s">
        <v>338</v>
      </c>
      <c r="B107" s="8" t="s">
        <v>550</v>
      </c>
      <c r="C107" s="8">
        <v>1289</v>
      </c>
      <c r="D107" s="8" t="s">
        <v>545</v>
      </c>
    </row>
    <row r="108" spans="1:4" ht="26.4" x14ac:dyDescent="0.3">
      <c r="A108" s="8" t="s">
        <v>338</v>
      </c>
      <c r="B108" s="8" t="s">
        <v>551</v>
      </c>
      <c r="C108" s="8">
        <v>849</v>
      </c>
      <c r="D108" s="8" t="s">
        <v>545</v>
      </c>
    </row>
    <row r="109" spans="1:4" ht="26.4" x14ac:dyDescent="0.3">
      <c r="A109" s="8" t="s">
        <v>338</v>
      </c>
      <c r="B109" s="8" t="s">
        <v>552</v>
      </c>
      <c r="C109" s="8">
        <v>798</v>
      </c>
      <c r="D109" s="8" t="s">
        <v>545</v>
      </c>
    </row>
    <row r="110" spans="1:4" ht="26.4" x14ac:dyDescent="0.3">
      <c r="A110" s="8" t="s">
        <v>338</v>
      </c>
      <c r="B110" s="8" t="s">
        <v>553</v>
      </c>
      <c r="C110" s="8">
        <v>775</v>
      </c>
      <c r="D110" s="8" t="s">
        <v>545</v>
      </c>
    </row>
    <row r="111" spans="1:4" ht="26.4" x14ac:dyDescent="0.3">
      <c r="A111" s="8" t="s">
        <v>338</v>
      </c>
      <c r="B111" s="8" t="s">
        <v>554</v>
      </c>
      <c r="C111" s="8">
        <v>660</v>
      </c>
      <c r="D111" s="8" t="s">
        <v>545</v>
      </c>
    </row>
    <row r="112" spans="1:4" ht="26.4" x14ac:dyDescent="0.3">
      <c r="A112" s="8" t="s">
        <v>338</v>
      </c>
      <c r="B112" s="8" t="s">
        <v>555</v>
      </c>
      <c r="C112" s="8">
        <v>248</v>
      </c>
      <c r="D112" s="8" t="s">
        <v>545</v>
      </c>
    </row>
    <row r="113" spans="1:4" ht="26.4" x14ac:dyDescent="0.3">
      <c r="A113" s="8" t="s">
        <v>338</v>
      </c>
      <c r="B113" s="8" t="s">
        <v>556</v>
      </c>
      <c r="C113" s="8">
        <v>134</v>
      </c>
      <c r="D113" s="8" t="s">
        <v>545</v>
      </c>
    </row>
    <row r="114" spans="1:4" ht="26.4" x14ac:dyDescent="0.3">
      <c r="A114" s="8" t="s">
        <v>338</v>
      </c>
      <c r="B114" s="8" t="s">
        <v>557</v>
      </c>
      <c r="C114" s="8">
        <v>1350</v>
      </c>
      <c r="D114" s="8" t="s">
        <v>545</v>
      </c>
    </row>
    <row r="115" spans="1:4" x14ac:dyDescent="0.3">
      <c r="A115" s="8" t="s">
        <v>348</v>
      </c>
      <c r="B115" s="8" t="s">
        <v>558</v>
      </c>
      <c r="C115" s="8">
        <v>125</v>
      </c>
      <c r="D115" s="8" t="s">
        <v>432</v>
      </c>
    </row>
    <row r="116" spans="1:4" x14ac:dyDescent="0.3">
      <c r="A116" s="8" t="s">
        <v>348</v>
      </c>
      <c r="B116" s="8" t="s">
        <v>559</v>
      </c>
      <c r="C116" s="8">
        <v>122</v>
      </c>
      <c r="D116" s="8" t="s">
        <v>432</v>
      </c>
    </row>
    <row r="117" spans="1:4" x14ac:dyDescent="0.3">
      <c r="A117" s="8" t="s">
        <v>348</v>
      </c>
      <c r="B117" s="8" t="s">
        <v>560</v>
      </c>
      <c r="C117" s="8">
        <v>119</v>
      </c>
      <c r="D117" s="8" t="s">
        <v>432</v>
      </c>
    </row>
    <row r="118" spans="1:4" x14ac:dyDescent="0.3">
      <c r="A118" s="8" t="s">
        <v>348</v>
      </c>
      <c r="B118" s="8" t="s">
        <v>561</v>
      </c>
      <c r="C118" s="8">
        <v>114</v>
      </c>
      <c r="D118" s="8" t="s">
        <v>432</v>
      </c>
    </row>
    <row r="119" spans="1:4" x14ac:dyDescent="0.3">
      <c r="A119" s="8" t="s">
        <v>348</v>
      </c>
      <c r="B119" s="8" t="s">
        <v>562</v>
      </c>
      <c r="C119" s="8">
        <v>104</v>
      </c>
      <c r="D119" s="8" t="s">
        <v>432</v>
      </c>
    </row>
    <row r="120" spans="1:4" x14ac:dyDescent="0.3">
      <c r="A120" s="8" t="s">
        <v>348</v>
      </c>
      <c r="B120" s="8" t="s">
        <v>563</v>
      </c>
      <c r="C120" s="8">
        <v>102</v>
      </c>
      <c r="D120" s="8" t="s">
        <v>432</v>
      </c>
    </row>
    <row r="121" spans="1:4" x14ac:dyDescent="0.3">
      <c r="A121" s="8" t="s">
        <v>348</v>
      </c>
      <c r="B121" s="8" t="s">
        <v>564</v>
      </c>
      <c r="C121" s="8">
        <v>65</v>
      </c>
      <c r="D121" s="8" t="s">
        <v>432</v>
      </c>
    </row>
    <row r="122" spans="1:4" x14ac:dyDescent="0.3">
      <c r="A122" s="8" t="s">
        <v>348</v>
      </c>
      <c r="B122" s="8" t="s">
        <v>565</v>
      </c>
      <c r="C122" s="8">
        <v>52</v>
      </c>
      <c r="D122" s="8" t="s">
        <v>432</v>
      </c>
    </row>
    <row r="123" spans="1:4" x14ac:dyDescent="0.3">
      <c r="A123" s="8" t="s">
        <v>348</v>
      </c>
      <c r="B123" s="8" t="s">
        <v>566</v>
      </c>
      <c r="C123" s="8">
        <v>49</v>
      </c>
      <c r="D123" s="8" t="s">
        <v>432</v>
      </c>
    </row>
    <row r="124" spans="1:4" x14ac:dyDescent="0.3">
      <c r="A124" s="8" t="s">
        <v>348</v>
      </c>
      <c r="B124" s="8" t="s">
        <v>567</v>
      </c>
      <c r="C124" s="8">
        <v>49</v>
      </c>
      <c r="D124" s="8" t="s">
        <v>432</v>
      </c>
    </row>
    <row r="125" spans="1:4" x14ac:dyDescent="0.3">
      <c r="A125" s="8" t="s">
        <v>348</v>
      </c>
      <c r="B125" s="8" t="s">
        <v>568</v>
      </c>
      <c r="C125" s="8">
        <v>364</v>
      </c>
      <c r="D125" s="8" t="s">
        <v>432</v>
      </c>
    </row>
    <row r="126" spans="1:4" ht="26.4" x14ac:dyDescent="0.3">
      <c r="A126" s="8" t="s">
        <v>359</v>
      </c>
      <c r="B126" s="8" t="s">
        <v>569</v>
      </c>
      <c r="C126" s="8">
        <v>130</v>
      </c>
      <c r="D126" s="8" t="s">
        <v>524</v>
      </c>
    </row>
    <row r="127" spans="1:4" ht="26.4" x14ac:dyDescent="0.3">
      <c r="A127" s="8" t="s">
        <v>367</v>
      </c>
      <c r="B127" s="8" t="s">
        <v>570</v>
      </c>
      <c r="C127" s="8">
        <v>7</v>
      </c>
      <c r="D127" s="8" t="s">
        <v>571</v>
      </c>
    </row>
    <row r="128" spans="1:4" ht="26.4" x14ac:dyDescent="0.3">
      <c r="A128" s="8" t="s">
        <v>367</v>
      </c>
      <c r="B128" s="8" t="s">
        <v>572</v>
      </c>
      <c r="C128" s="8">
        <v>6</v>
      </c>
      <c r="D128" s="8" t="s">
        <v>571</v>
      </c>
    </row>
    <row r="129" spans="1:4" ht="26.4" x14ac:dyDescent="0.3">
      <c r="A129" s="8" t="s">
        <v>367</v>
      </c>
      <c r="B129" s="8" t="s">
        <v>573</v>
      </c>
      <c r="C129" s="8">
        <v>10</v>
      </c>
      <c r="D129" s="8" t="s">
        <v>571</v>
      </c>
    </row>
    <row r="130" spans="1:4" ht="26.4" x14ac:dyDescent="0.3">
      <c r="A130" s="8" t="s">
        <v>367</v>
      </c>
      <c r="B130" s="8" t="s">
        <v>574</v>
      </c>
      <c r="C130" s="8">
        <v>13</v>
      </c>
      <c r="D130" s="8" t="s">
        <v>571</v>
      </c>
    </row>
    <row r="131" spans="1:4" ht="26.4" x14ac:dyDescent="0.3">
      <c r="A131" s="8" t="s">
        <v>367</v>
      </c>
      <c r="B131" s="8" t="s">
        <v>554</v>
      </c>
      <c r="C131" s="8">
        <v>14</v>
      </c>
      <c r="D131" s="8" t="s">
        <v>571</v>
      </c>
    </row>
    <row r="132" spans="1:4" ht="26.4" x14ac:dyDescent="0.3">
      <c r="A132" s="8" t="s">
        <v>367</v>
      </c>
      <c r="B132" s="8" t="s">
        <v>575</v>
      </c>
      <c r="C132" s="8">
        <v>4</v>
      </c>
      <c r="D132" s="8" t="s">
        <v>571</v>
      </c>
    </row>
    <row r="133" spans="1:4" ht="26.4" x14ac:dyDescent="0.3">
      <c r="A133" s="8" t="s">
        <v>367</v>
      </c>
      <c r="B133" s="8" t="s">
        <v>576</v>
      </c>
      <c r="C133" s="8">
        <v>12</v>
      </c>
      <c r="D133" s="8" t="s">
        <v>571</v>
      </c>
    </row>
    <row r="134" spans="1:4" ht="26.4" x14ac:dyDescent="0.3">
      <c r="A134" s="8" t="s">
        <v>367</v>
      </c>
      <c r="B134" s="8" t="s">
        <v>577</v>
      </c>
      <c r="C134" s="8">
        <v>6</v>
      </c>
      <c r="D134" s="8" t="s">
        <v>571</v>
      </c>
    </row>
    <row r="135" spans="1:4" ht="26.4" x14ac:dyDescent="0.3">
      <c r="A135" s="8" t="s">
        <v>367</v>
      </c>
      <c r="B135" s="8" t="s">
        <v>578</v>
      </c>
      <c r="C135" s="8">
        <v>11</v>
      </c>
      <c r="D135" s="8" t="s">
        <v>571</v>
      </c>
    </row>
    <row r="136" spans="1:4" ht="26.4" x14ac:dyDescent="0.3">
      <c r="A136" s="8" t="s">
        <v>367</v>
      </c>
      <c r="B136" s="8" t="s">
        <v>579</v>
      </c>
      <c r="C136" s="8">
        <v>6</v>
      </c>
      <c r="D136" s="8" t="s">
        <v>571</v>
      </c>
    </row>
    <row r="137" spans="1:4" x14ac:dyDescent="0.3">
      <c r="A137" s="8" t="s">
        <v>379</v>
      </c>
      <c r="B137" s="8" t="s">
        <v>580</v>
      </c>
      <c r="C137" s="8">
        <v>261</v>
      </c>
      <c r="D137" s="8" t="s">
        <v>442</v>
      </c>
    </row>
    <row r="138" spans="1:4" x14ac:dyDescent="0.3">
      <c r="A138" s="8" t="s">
        <v>379</v>
      </c>
      <c r="B138" s="8" t="s">
        <v>581</v>
      </c>
      <c r="C138" s="8">
        <v>122</v>
      </c>
      <c r="D138" s="8" t="s">
        <v>442</v>
      </c>
    </row>
    <row r="139" spans="1:4" x14ac:dyDescent="0.3">
      <c r="A139" s="8" t="s">
        <v>379</v>
      </c>
      <c r="B139" s="8" t="s">
        <v>582</v>
      </c>
      <c r="C139" s="8">
        <v>45</v>
      </c>
      <c r="D139" s="8" t="s">
        <v>442</v>
      </c>
    </row>
    <row r="140" spans="1:4" x14ac:dyDescent="0.3">
      <c r="A140" s="8" t="s">
        <v>379</v>
      </c>
      <c r="B140" s="8" t="s">
        <v>583</v>
      </c>
      <c r="C140" s="8">
        <v>31</v>
      </c>
      <c r="D140" s="8" t="s">
        <v>442</v>
      </c>
    </row>
    <row r="141" spans="1:4" x14ac:dyDescent="0.3">
      <c r="A141" s="8" t="s">
        <v>379</v>
      </c>
      <c r="B141" s="8" t="s">
        <v>584</v>
      </c>
      <c r="C141" s="8">
        <v>21</v>
      </c>
      <c r="D141" s="8" t="s">
        <v>442</v>
      </c>
    </row>
    <row r="142" spans="1:4" ht="39.6" x14ac:dyDescent="0.3">
      <c r="A142" s="8" t="s">
        <v>379</v>
      </c>
      <c r="B142" s="8" t="s">
        <v>585</v>
      </c>
      <c r="C142" s="8" t="s">
        <v>586</v>
      </c>
      <c r="D142" s="8" t="s">
        <v>442</v>
      </c>
    </row>
    <row r="143" spans="1:4" ht="26.4" x14ac:dyDescent="0.3">
      <c r="A143" s="8" t="s">
        <v>390</v>
      </c>
      <c r="B143" s="8" t="s">
        <v>587</v>
      </c>
      <c r="C143" s="8">
        <v>525</v>
      </c>
      <c r="D143" s="8" t="s">
        <v>588</v>
      </c>
    </row>
    <row r="144" spans="1:4" ht="26.4" x14ac:dyDescent="0.3">
      <c r="A144" s="8" t="s">
        <v>390</v>
      </c>
      <c r="B144" s="8" t="s">
        <v>589</v>
      </c>
      <c r="C144" s="8">
        <v>508</v>
      </c>
      <c r="D144" s="8" t="s">
        <v>588</v>
      </c>
    </row>
    <row r="145" spans="1:4" ht="26.4" x14ac:dyDescent="0.3">
      <c r="A145" s="8" t="s">
        <v>390</v>
      </c>
      <c r="B145" s="8" t="s">
        <v>590</v>
      </c>
      <c r="C145" s="8">
        <v>235</v>
      </c>
      <c r="D145" s="8" t="s">
        <v>588</v>
      </c>
    </row>
    <row r="146" spans="1:4" ht="26.4" x14ac:dyDescent="0.3">
      <c r="A146" s="8" t="s">
        <v>390</v>
      </c>
      <c r="B146" s="8" t="s">
        <v>591</v>
      </c>
      <c r="C146" s="8">
        <v>187</v>
      </c>
      <c r="D146" s="8" t="s">
        <v>588</v>
      </c>
    </row>
    <row r="147" spans="1:4" ht="26.4" x14ac:dyDescent="0.3">
      <c r="A147" s="8" t="s">
        <v>390</v>
      </c>
      <c r="B147" s="8" t="s">
        <v>592</v>
      </c>
      <c r="C147" s="8">
        <v>137</v>
      </c>
      <c r="D147" s="8" t="s">
        <v>588</v>
      </c>
    </row>
    <row r="148" spans="1:4" ht="26.4" x14ac:dyDescent="0.3">
      <c r="A148" s="8" t="s">
        <v>390</v>
      </c>
      <c r="B148" s="8" t="s">
        <v>593</v>
      </c>
      <c r="C148" s="8">
        <v>118</v>
      </c>
      <c r="D148" s="8" t="s">
        <v>588</v>
      </c>
    </row>
    <row r="149" spans="1:4" ht="26.4" x14ac:dyDescent="0.3">
      <c r="A149" s="8" t="s">
        <v>390</v>
      </c>
      <c r="B149" s="8" t="s">
        <v>594</v>
      </c>
      <c r="C149" s="8">
        <v>50</v>
      </c>
      <c r="D149" s="8" t="s">
        <v>588</v>
      </c>
    </row>
    <row r="150" spans="1:4" ht="26.4" x14ac:dyDescent="0.3">
      <c r="A150" s="8" t="s">
        <v>390</v>
      </c>
      <c r="B150" s="8" t="s">
        <v>595</v>
      </c>
      <c r="C150" s="8">
        <v>14</v>
      </c>
      <c r="D150" s="8" t="s">
        <v>588</v>
      </c>
    </row>
    <row r="151" spans="1:4" ht="26.4" x14ac:dyDescent="0.3">
      <c r="A151" s="8" t="s">
        <v>390</v>
      </c>
      <c r="B151" s="8" t="s">
        <v>596</v>
      </c>
      <c r="C151" s="8">
        <v>5</v>
      </c>
      <c r="D151" s="8" t="s">
        <v>588</v>
      </c>
    </row>
    <row r="152" spans="1:4" ht="26.4" x14ac:dyDescent="0.3">
      <c r="A152" s="8" t="s">
        <v>390</v>
      </c>
      <c r="B152" s="8" t="s">
        <v>597</v>
      </c>
      <c r="C152" s="8">
        <v>5</v>
      </c>
      <c r="D152" s="8" t="s">
        <v>588</v>
      </c>
    </row>
    <row r="153" spans="1:4" x14ac:dyDescent="0.3">
      <c r="A153" s="8" t="s">
        <v>403</v>
      </c>
      <c r="B153" s="8" t="s">
        <v>598</v>
      </c>
      <c r="C153" s="8">
        <v>458</v>
      </c>
      <c r="D153" s="8" t="s">
        <v>599</v>
      </c>
    </row>
  </sheetData>
  <autoFilter ref="A1:D153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6" customWidth="1"/>
    <col min="3" max="3" width="28" customWidth="1"/>
    <col min="4" max="4" width="18" customWidth="1"/>
    <col min="5" max="5" width="10" customWidth="1"/>
    <col min="6" max="6" width="40" customWidth="1"/>
    <col min="7" max="7" width="24" customWidth="1"/>
    <col min="8" max="8" width="30" customWidth="1"/>
    <col min="9" max="9" width="22" customWidth="1"/>
    <col min="10" max="10" width="34" customWidth="1"/>
    <col min="11" max="11" width="44" customWidth="1"/>
    <col min="12" max="12" width="30" customWidth="1"/>
    <col min="13" max="14" width="50" customWidth="1"/>
    <col min="15" max="15" width="40" customWidth="1"/>
    <col min="16" max="16" width="11" customWidth="1"/>
  </cols>
  <sheetData>
    <row r="1" spans="1:16" ht="33.75" customHeight="1" x14ac:dyDescent="0.3">
      <c r="A1" s="6" t="s">
        <v>18</v>
      </c>
      <c r="B1" s="6" t="s">
        <v>600</v>
      </c>
      <c r="C1" s="6" t="s">
        <v>20</v>
      </c>
      <c r="D1" s="6" t="s">
        <v>21</v>
      </c>
      <c r="E1" s="6" t="s">
        <v>22</v>
      </c>
      <c r="F1" s="6" t="s">
        <v>601</v>
      </c>
      <c r="G1" s="6" t="s">
        <v>602</v>
      </c>
      <c r="H1" s="6" t="s">
        <v>603</v>
      </c>
      <c r="I1" s="6" t="s">
        <v>604</v>
      </c>
      <c r="J1" s="6" t="s">
        <v>36</v>
      </c>
      <c r="K1" s="6" t="s">
        <v>605</v>
      </c>
      <c r="L1" s="6" t="s">
        <v>606</v>
      </c>
      <c r="M1" s="6" t="s">
        <v>607</v>
      </c>
      <c r="N1" s="6" t="s">
        <v>40</v>
      </c>
      <c r="O1" s="7" t="s">
        <v>41</v>
      </c>
      <c r="P1" s="6" t="s">
        <v>44</v>
      </c>
    </row>
    <row r="2" spans="1:16" ht="118.8" x14ac:dyDescent="0.3">
      <c r="A2" s="8">
        <v>1</v>
      </c>
      <c r="B2" s="9" t="s">
        <v>608</v>
      </c>
      <c r="C2" s="8" t="s">
        <v>609</v>
      </c>
      <c r="D2" s="8"/>
      <c r="E2" s="8">
        <v>12256</v>
      </c>
      <c r="F2" s="8" t="s">
        <v>610</v>
      </c>
      <c r="G2" s="8" t="s">
        <v>611</v>
      </c>
      <c r="H2" s="8"/>
      <c r="I2" s="8"/>
      <c r="J2" s="8"/>
      <c r="K2" s="8"/>
      <c r="L2" s="8"/>
      <c r="M2" s="8"/>
      <c r="N2" s="8" t="s">
        <v>612</v>
      </c>
      <c r="O2" s="11"/>
      <c r="P2" s="8" t="s">
        <v>64</v>
      </c>
    </row>
    <row r="3" spans="1:16" ht="118.8" x14ac:dyDescent="0.3">
      <c r="A3" s="8">
        <v>2</v>
      </c>
      <c r="B3" s="9" t="s">
        <v>613</v>
      </c>
      <c r="C3" s="8" t="s">
        <v>614</v>
      </c>
      <c r="D3" s="8"/>
      <c r="E3" s="8"/>
      <c r="F3" s="8" t="s">
        <v>615</v>
      </c>
      <c r="G3" s="8" t="s">
        <v>616</v>
      </c>
      <c r="H3" s="8" t="s">
        <v>617</v>
      </c>
      <c r="I3" s="8"/>
      <c r="J3" s="8"/>
      <c r="K3" s="8"/>
      <c r="L3" s="8"/>
      <c r="M3" s="8"/>
      <c r="N3" s="8" t="s">
        <v>618</v>
      </c>
      <c r="O3" s="11"/>
      <c r="P3" s="8" t="s">
        <v>64</v>
      </c>
    </row>
    <row r="4" spans="1:16" ht="105.6" x14ac:dyDescent="0.3">
      <c r="A4" s="8">
        <v>3</v>
      </c>
      <c r="B4" s="9" t="s">
        <v>619</v>
      </c>
      <c r="C4" s="8" t="s">
        <v>620</v>
      </c>
      <c r="D4" s="8" t="s">
        <v>621</v>
      </c>
      <c r="E4" s="8">
        <v>206</v>
      </c>
      <c r="F4" s="8" t="s">
        <v>622</v>
      </c>
      <c r="G4" s="8" t="s">
        <v>623</v>
      </c>
      <c r="H4" s="8" t="s">
        <v>624</v>
      </c>
      <c r="I4" s="8"/>
      <c r="J4" s="8"/>
      <c r="K4" s="8"/>
      <c r="L4" s="8"/>
      <c r="M4" s="8"/>
      <c r="N4" s="8" t="s">
        <v>625</v>
      </c>
      <c r="O4" s="11"/>
      <c r="P4" s="8" t="s">
        <v>64</v>
      </c>
    </row>
    <row r="5" spans="1:16" ht="66" x14ac:dyDescent="0.3">
      <c r="A5" s="8">
        <v>4</v>
      </c>
      <c r="B5" s="9" t="s">
        <v>626</v>
      </c>
      <c r="C5" s="8" t="s">
        <v>627</v>
      </c>
      <c r="D5" s="8" t="s">
        <v>628</v>
      </c>
      <c r="E5" s="8">
        <v>389</v>
      </c>
      <c r="F5" s="8" t="s">
        <v>629</v>
      </c>
      <c r="G5" s="8" t="s">
        <v>630</v>
      </c>
      <c r="H5" s="8" t="s">
        <v>631</v>
      </c>
      <c r="I5" s="8"/>
      <c r="J5" s="8"/>
      <c r="K5" s="8"/>
      <c r="L5" s="8"/>
      <c r="M5" s="8"/>
      <c r="N5" s="8" t="s">
        <v>632</v>
      </c>
      <c r="O5" s="11"/>
      <c r="P5" s="8" t="s">
        <v>64</v>
      </c>
    </row>
  </sheetData>
  <autoFilter ref="A1:P5" xr:uid="{00000000-0009-0000-0000-000004000000}"/>
  <dataValidations count="1">
    <dataValidation type="list" allowBlank="1" sqref="P2:P5" xr:uid="{00000000-0002-0000-04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6" customWidth="1"/>
    <col min="3" max="3" width="28" customWidth="1"/>
    <col min="4" max="4" width="18" customWidth="1"/>
    <col min="5" max="5" width="10" customWidth="1"/>
    <col min="6" max="6" width="40" customWidth="1"/>
    <col min="7" max="7" width="24" customWidth="1"/>
    <col min="8" max="8" width="30" customWidth="1"/>
    <col min="9" max="9" width="22" customWidth="1"/>
    <col min="10" max="10" width="34" customWidth="1"/>
    <col min="11" max="11" width="44" customWidth="1"/>
    <col min="12" max="12" width="30" customWidth="1"/>
    <col min="13" max="14" width="50" customWidth="1"/>
    <col min="15" max="15" width="40" customWidth="1"/>
    <col min="16" max="16" width="11" customWidth="1"/>
  </cols>
  <sheetData>
    <row r="1" spans="1:16" ht="33.75" customHeight="1" x14ac:dyDescent="0.3">
      <c r="A1" s="6" t="s">
        <v>18</v>
      </c>
      <c r="B1" s="6" t="s">
        <v>600</v>
      </c>
      <c r="C1" s="6" t="s">
        <v>20</v>
      </c>
      <c r="D1" s="6" t="s">
        <v>21</v>
      </c>
      <c r="E1" s="6" t="s">
        <v>22</v>
      </c>
      <c r="F1" s="6" t="s">
        <v>601</v>
      </c>
      <c r="G1" s="6" t="s">
        <v>602</v>
      </c>
      <c r="H1" s="6" t="s">
        <v>603</v>
      </c>
      <c r="I1" s="6" t="s">
        <v>604</v>
      </c>
      <c r="J1" s="6" t="s">
        <v>36</v>
      </c>
      <c r="K1" s="6" t="s">
        <v>605</v>
      </c>
      <c r="L1" s="6" t="s">
        <v>606</v>
      </c>
      <c r="M1" s="6" t="s">
        <v>607</v>
      </c>
      <c r="N1" s="6" t="s">
        <v>40</v>
      </c>
      <c r="O1" s="7" t="s">
        <v>41</v>
      </c>
      <c r="P1" s="6" t="s">
        <v>44</v>
      </c>
    </row>
    <row r="2" spans="1:16" ht="92.4" x14ac:dyDescent="0.3">
      <c r="A2" s="8">
        <v>1</v>
      </c>
      <c r="B2" s="9" t="s">
        <v>633</v>
      </c>
      <c r="C2" s="8" t="s">
        <v>609</v>
      </c>
      <c r="D2" s="8"/>
      <c r="E2" s="8">
        <v>25487</v>
      </c>
      <c r="F2" s="8" t="s">
        <v>634</v>
      </c>
      <c r="G2" s="8" t="s">
        <v>635</v>
      </c>
      <c r="H2" s="8" t="s">
        <v>636</v>
      </c>
      <c r="I2" s="8"/>
      <c r="J2" s="8"/>
      <c r="K2" s="8"/>
      <c r="L2" s="8"/>
      <c r="M2" s="8"/>
      <c r="N2" s="8" t="s">
        <v>637</v>
      </c>
      <c r="O2" s="11"/>
      <c r="P2" s="8" t="s">
        <v>64</v>
      </c>
    </row>
    <row r="3" spans="1:16" ht="66" x14ac:dyDescent="0.3">
      <c r="A3" s="8">
        <v>2</v>
      </c>
      <c r="B3" s="9" t="s">
        <v>638</v>
      </c>
      <c r="C3" s="8" t="s">
        <v>639</v>
      </c>
      <c r="D3" s="8" t="s">
        <v>640</v>
      </c>
      <c r="E3" s="8">
        <v>1500</v>
      </c>
      <c r="F3" s="8" t="s">
        <v>641</v>
      </c>
      <c r="G3" s="8" t="s">
        <v>635</v>
      </c>
      <c r="H3" s="8" t="s">
        <v>642</v>
      </c>
      <c r="I3" s="8"/>
      <c r="J3" s="8"/>
      <c r="K3" s="8"/>
      <c r="L3" s="8"/>
      <c r="M3" s="8"/>
      <c r="N3" s="8" t="s">
        <v>643</v>
      </c>
      <c r="O3" s="11"/>
      <c r="P3" s="8" t="s">
        <v>64</v>
      </c>
    </row>
    <row r="4" spans="1:16" ht="66" x14ac:dyDescent="0.3">
      <c r="A4" s="8">
        <v>3</v>
      </c>
      <c r="B4" s="9" t="s">
        <v>644</v>
      </c>
      <c r="C4" s="8" t="s">
        <v>95</v>
      </c>
      <c r="D4" s="8" t="s">
        <v>645</v>
      </c>
      <c r="E4" s="8">
        <v>41</v>
      </c>
      <c r="F4" s="8" t="s">
        <v>646</v>
      </c>
      <c r="G4" s="8" t="s">
        <v>635</v>
      </c>
      <c r="H4" s="8" t="s">
        <v>647</v>
      </c>
      <c r="I4" s="8"/>
      <c r="J4" s="8"/>
      <c r="K4" s="8"/>
      <c r="L4" s="8"/>
      <c r="M4" s="8"/>
      <c r="N4" s="8" t="s">
        <v>648</v>
      </c>
      <c r="O4" s="11"/>
      <c r="P4" s="8" t="s">
        <v>64</v>
      </c>
    </row>
  </sheetData>
  <autoFilter ref="A1:P4" xr:uid="{00000000-0009-0000-0000-000005000000}"/>
  <dataValidations count="1">
    <dataValidation type="list" allowBlank="1" sqref="P2:P4" xr:uid="{00000000-0002-0000-05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6" customWidth="1"/>
    <col min="3" max="3" width="28" customWidth="1"/>
    <col min="4" max="4" width="18" customWidth="1"/>
    <col min="5" max="5" width="10" customWidth="1"/>
    <col min="6" max="6" width="40" customWidth="1"/>
    <col min="7" max="7" width="24" customWidth="1"/>
    <col min="8" max="8" width="30" customWidth="1"/>
    <col min="9" max="9" width="22" customWidth="1"/>
    <col min="10" max="10" width="34" customWidth="1"/>
    <col min="11" max="11" width="44" customWidth="1"/>
    <col min="12" max="12" width="30" customWidth="1"/>
    <col min="13" max="14" width="50" customWidth="1"/>
    <col min="15" max="15" width="40" customWidth="1"/>
    <col min="16" max="16" width="11" customWidth="1"/>
  </cols>
  <sheetData>
    <row r="1" spans="1:16" ht="33.75" customHeight="1" x14ac:dyDescent="0.3">
      <c r="A1" s="6" t="s">
        <v>18</v>
      </c>
      <c r="B1" s="6" t="s">
        <v>600</v>
      </c>
      <c r="C1" s="6" t="s">
        <v>20</v>
      </c>
      <c r="D1" s="6" t="s">
        <v>21</v>
      </c>
      <c r="E1" s="6" t="s">
        <v>22</v>
      </c>
      <c r="F1" s="6" t="s">
        <v>601</v>
      </c>
      <c r="G1" s="6" t="s">
        <v>602</v>
      </c>
      <c r="H1" s="6" t="s">
        <v>603</v>
      </c>
      <c r="I1" s="6" t="s">
        <v>604</v>
      </c>
      <c r="J1" s="6" t="s">
        <v>36</v>
      </c>
      <c r="K1" s="6" t="s">
        <v>605</v>
      </c>
      <c r="L1" s="6" t="s">
        <v>606</v>
      </c>
      <c r="M1" s="6" t="s">
        <v>607</v>
      </c>
      <c r="N1" s="6" t="s">
        <v>40</v>
      </c>
      <c r="O1" s="7" t="s">
        <v>41</v>
      </c>
      <c r="P1" s="6" t="s">
        <v>44</v>
      </c>
    </row>
    <row r="2" spans="1:16" ht="118.8" x14ac:dyDescent="0.3">
      <c r="A2" s="8">
        <v>1</v>
      </c>
      <c r="B2" s="9" t="s">
        <v>649</v>
      </c>
      <c r="C2" s="8" t="s">
        <v>154</v>
      </c>
      <c r="D2" s="8" t="s">
        <v>650</v>
      </c>
      <c r="E2" s="8">
        <v>6557</v>
      </c>
      <c r="F2" s="8" t="s">
        <v>651</v>
      </c>
      <c r="G2" s="8" t="s">
        <v>616</v>
      </c>
      <c r="H2" s="8"/>
      <c r="I2" s="8"/>
      <c r="J2" s="8"/>
      <c r="K2" s="8"/>
      <c r="L2" s="8"/>
      <c r="M2" s="8"/>
      <c r="N2" s="8" t="s">
        <v>652</v>
      </c>
      <c r="O2" s="11"/>
      <c r="P2" s="8" t="s">
        <v>64</v>
      </c>
    </row>
    <row r="3" spans="1:16" ht="79.2" x14ac:dyDescent="0.3">
      <c r="A3" s="8">
        <v>2</v>
      </c>
      <c r="B3" s="9" t="s">
        <v>653</v>
      </c>
      <c r="C3" s="8" t="s">
        <v>154</v>
      </c>
      <c r="D3" s="8" t="s">
        <v>654</v>
      </c>
      <c r="E3" s="8">
        <v>119</v>
      </c>
      <c r="F3" s="8" t="s">
        <v>655</v>
      </c>
      <c r="G3" s="8" t="s">
        <v>616</v>
      </c>
      <c r="H3" s="8"/>
      <c r="I3" s="8"/>
      <c r="J3" s="8"/>
      <c r="K3" s="8"/>
      <c r="L3" s="8"/>
      <c r="M3" s="8"/>
      <c r="N3" s="8" t="s">
        <v>656</v>
      </c>
      <c r="O3" s="11"/>
      <c r="P3" s="8" t="s">
        <v>64</v>
      </c>
    </row>
    <row r="4" spans="1:16" ht="52.8" x14ac:dyDescent="0.3">
      <c r="A4" s="8">
        <v>3</v>
      </c>
      <c r="B4" s="9" t="s">
        <v>657</v>
      </c>
      <c r="C4" s="8" t="s">
        <v>609</v>
      </c>
      <c r="D4" s="8"/>
      <c r="E4" s="8">
        <v>1275</v>
      </c>
      <c r="F4" s="8" t="s">
        <v>658</v>
      </c>
      <c r="G4" s="8" t="s">
        <v>659</v>
      </c>
      <c r="H4" s="8"/>
      <c r="I4" s="8"/>
      <c r="J4" s="8"/>
      <c r="K4" s="8"/>
      <c r="L4" s="8"/>
      <c r="M4" s="8"/>
      <c r="N4" s="8" t="s">
        <v>660</v>
      </c>
      <c r="O4" s="11"/>
      <c r="P4" s="8" t="s">
        <v>64</v>
      </c>
    </row>
  </sheetData>
  <autoFilter ref="A1:P4" xr:uid="{00000000-0009-0000-0000-000006000000}"/>
  <dataValidations count="1">
    <dataValidation type="list" allowBlank="1" sqref="P2:P4" xr:uid="{00000000-0002-0000-06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6" customWidth="1"/>
    <col min="3" max="3" width="28" customWidth="1"/>
    <col min="4" max="4" width="18" customWidth="1"/>
    <col min="5" max="5" width="10" customWidth="1"/>
    <col min="6" max="6" width="40" customWidth="1"/>
    <col min="7" max="7" width="24" customWidth="1"/>
    <col min="8" max="8" width="30" customWidth="1"/>
    <col min="9" max="9" width="22" customWidth="1"/>
    <col min="10" max="10" width="34" customWidth="1"/>
    <col min="11" max="11" width="44" customWidth="1"/>
    <col min="12" max="12" width="30" customWidth="1"/>
    <col min="13" max="14" width="50" customWidth="1"/>
    <col min="15" max="15" width="40" customWidth="1"/>
    <col min="16" max="16" width="11" customWidth="1"/>
  </cols>
  <sheetData>
    <row r="1" spans="1:16" ht="33.75" customHeight="1" x14ac:dyDescent="0.3">
      <c r="A1" s="6" t="s">
        <v>18</v>
      </c>
      <c r="B1" s="6" t="s">
        <v>600</v>
      </c>
      <c r="C1" s="6" t="s">
        <v>20</v>
      </c>
      <c r="D1" s="6" t="s">
        <v>21</v>
      </c>
      <c r="E1" s="6" t="s">
        <v>22</v>
      </c>
      <c r="F1" s="6" t="s">
        <v>601</v>
      </c>
      <c r="G1" s="6" t="s">
        <v>602</v>
      </c>
      <c r="H1" s="6" t="s">
        <v>603</v>
      </c>
      <c r="I1" s="6" t="s">
        <v>604</v>
      </c>
      <c r="J1" s="6" t="s">
        <v>36</v>
      </c>
      <c r="K1" s="6" t="s">
        <v>605</v>
      </c>
      <c r="L1" s="6" t="s">
        <v>606</v>
      </c>
      <c r="M1" s="6" t="s">
        <v>607</v>
      </c>
      <c r="N1" s="6" t="s">
        <v>40</v>
      </c>
      <c r="O1" s="7" t="s">
        <v>41</v>
      </c>
      <c r="P1" s="6" t="s">
        <v>44</v>
      </c>
    </row>
    <row r="2" spans="1:16" ht="66" x14ac:dyDescent="0.3">
      <c r="A2" s="8">
        <v>1</v>
      </c>
      <c r="B2" s="9" t="s">
        <v>661</v>
      </c>
      <c r="C2" s="8" t="s">
        <v>662</v>
      </c>
      <c r="D2" s="8"/>
      <c r="E2" s="8"/>
      <c r="F2" s="8" t="s">
        <v>663</v>
      </c>
      <c r="G2" s="8"/>
      <c r="H2" s="8"/>
      <c r="I2" s="8" t="s">
        <v>664</v>
      </c>
      <c r="J2" s="8" t="s">
        <v>665</v>
      </c>
      <c r="K2" s="8"/>
      <c r="L2" s="8"/>
      <c r="M2" s="8"/>
      <c r="N2" s="8" t="s">
        <v>666</v>
      </c>
      <c r="O2" s="11"/>
      <c r="P2" s="8" t="s">
        <v>64</v>
      </c>
    </row>
  </sheetData>
  <autoFilter ref="A1:P2" xr:uid="{00000000-0009-0000-0000-000007000000}"/>
  <dataValidations count="1">
    <dataValidation type="list" allowBlank="1" sqref="P2" xr:uid="{00000000-0002-0000-07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6" customWidth="1"/>
    <col min="3" max="3" width="28" customWidth="1"/>
    <col min="4" max="4" width="18" customWidth="1"/>
    <col min="5" max="5" width="10" customWidth="1"/>
    <col min="6" max="6" width="40" customWidth="1"/>
    <col min="7" max="7" width="24" customWidth="1"/>
    <col min="8" max="8" width="30" customWidth="1"/>
    <col min="9" max="9" width="22" customWidth="1"/>
    <col min="10" max="10" width="34" customWidth="1"/>
    <col min="11" max="11" width="44" customWidth="1"/>
    <col min="12" max="12" width="30" customWidth="1"/>
    <col min="13" max="14" width="50" customWidth="1"/>
    <col min="15" max="15" width="40" customWidth="1"/>
    <col min="16" max="16" width="11" customWidth="1"/>
  </cols>
  <sheetData>
    <row r="1" spans="1:16" ht="33.75" customHeight="1" x14ac:dyDescent="0.3">
      <c r="A1" s="6" t="s">
        <v>18</v>
      </c>
      <c r="B1" s="6" t="s">
        <v>600</v>
      </c>
      <c r="C1" s="6" t="s">
        <v>20</v>
      </c>
      <c r="D1" s="6" t="s">
        <v>21</v>
      </c>
      <c r="E1" s="6" t="s">
        <v>22</v>
      </c>
      <c r="F1" s="6" t="s">
        <v>601</v>
      </c>
      <c r="G1" s="6" t="s">
        <v>602</v>
      </c>
      <c r="H1" s="6" t="s">
        <v>603</v>
      </c>
      <c r="I1" s="6" t="s">
        <v>604</v>
      </c>
      <c r="J1" s="6" t="s">
        <v>36</v>
      </c>
      <c r="K1" s="6" t="s">
        <v>605</v>
      </c>
      <c r="L1" s="6" t="s">
        <v>606</v>
      </c>
      <c r="M1" s="6" t="s">
        <v>607</v>
      </c>
      <c r="N1" s="6" t="s">
        <v>40</v>
      </c>
      <c r="O1" s="7" t="s">
        <v>41</v>
      </c>
      <c r="P1" s="6" t="s">
        <v>44</v>
      </c>
    </row>
    <row r="2" spans="1:16" ht="118.8" x14ac:dyDescent="0.3">
      <c r="A2" s="8">
        <v>1</v>
      </c>
      <c r="B2" s="9" t="s">
        <v>667</v>
      </c>
      <c r="C2" s="8" t="s">
        <v>609</v>
      </c>
      <c r="D2" s="8"/>
      <c r="E2" s="8"/>
      <c r="F2" s="8"/>
      <c r="G2" s="8"/>
      <c r="H2" s="8"/>
      <c r="I2" s="8"/>
      <c r="J2" s="8"/>
      <c r="K2" s="8" t="s">
        <v>668</v>
      </c>
      <c r="L2" s="8" t="s">
        <v>669</v>
      </c>
      <c r="M2" s="8" t="s">
        <v>670</v>
      </c>
      <c r="N2" s="8" t="s">
        <v>671</v>
      </c>
      <c r="O2" s="11"/>
      <c r="P2" s="8" t="s">
        <v>64</v>
      </c>
    </row>
    <row r="3" spans="1:16" ht="158.4" x14ac:dyDescent="0.3">
      <c r="A3" s="8">
        <v>2</v>
      </c>
      <c r="B3" s="9" t="s">
        <v>672</v>
      </c>
      <c r="C3" s="8" t="s">
        <v>154</v>
      </c>
      <c r="D3" s="8"/>
      <c r="E3" s="8"/>
      <c r="F3" s="8"/>
      <c r="G3" s="8"/>
      <c r="H3" s="8"/>
      <c r="I3" s="8"/>
      <c r="J3" s="8"/>
      <c r="K3" s="8" t="s">
        <v>673</v>
      </c>
      <c r="L3" s="8" t="s">
        <v>674</v>
      </c>
      <c r="M3" s="8" t="s">
        <v>675</v>
      </c>
      <c r="N3" s="8" t="s">
        <v>676</v>
      </c>
      <c r="O3" s="11"/>
      <c r="P3" s="8" t="s">
        <v>64</v>
      </c>
    </row>
    <row r="4" spans="1:16" ht="92.4" x14ac:dyDescent="0.3">
      <c r="A4" s="8">
        <v>3</v>
      </c>
      <c r="B4" s="9" t="s">
        <v>677</v>
      </c>
      <c r="C4" s="8" t="s">
        <v>678</v>
      </c>
      <c r="D4" s="8"/>
      <c r="E4" s="8"/>
      <c r="F4" s="8"/>
      <c r="G4" s="8"/>
      <c r="H4" s="8"/>
      <c r="I4" s="8"/>
      <c r="J4" s="8"/>
      <c r="K4" s="8" t="s">
        <v>679</v>
      </c>
      <c r="L4" s="8" t="s">
        <v>680</v>
      </c>
      <c r="M4" s="8"/>
      <c r="N4" s="8" t="s">
        <v>681</v>
      </c>
      <c r="O4" s="11"/>
      <c r="P4" s="8" t="s">
        <v>64</v>
      </c>
    </row>
  </sheetData>
  <autoFilter ref="A1:P4" xr:uid="{00000000-0009-0000-0000-000008000000}"/>
  <dataValidations count="1">
    <dataValidation type="list" allowBlank="1" sqref="P2:P4" xr:uid="{00000000-0002-0000-08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5" customWidth="1"/>
    <col min="2" max="2" width="36" customWidth="1"/>
    <col min="3" max="3" width="28" customWidth="1"/>
    <col min="4" max="4" width="18" customWidth="1"/>
    <col min="5" max="5" width="10" customWidth="1"/>
    <col min="6" max="6" width="40" customWidth="1"/>
    <col min="7" max="7" width="24" customWidth="1"/>
    <col min="8" max="8" width="30" customWidth="1"/>
    <col min="9" max="9" width="22" customWidth="1"/>
    <col min="10" max="10" width="34" customWidth="1"/>
    <col min="11" max="11" width="44" customWidth="1"/>
    <col min="12" max="12" width="30" customWidth="1"/>
    <col min="13" max="14" width="50" customWidth="1"/>
    <col min="15" max="15" width="40" customWidth="1"/>
    <col min="16" max="16" width="11" customWidth="1"/>
  </cols>
  <sheetData>
    <row r="1" spans="1:16" ht="33.75" customHeight="1" x14ac:dyDescent="0.3">
      <c r="A1" s="6" t="s">
        <v>18</v>
      </c>
      <c r="B1" s="6" t="s">
        <v>600</v>
      </c>
      <c r="C1" s="6" t="s">
        <v>20</v>
      </c>
      <c r="D1" s="6" t="s">
        <v>21</v>
      </c>
      <c r="E1" s="6" t="s">
        <v>22</v>
      </c>
      <c r="F1" s="6" t="s">
        <v>601</v>
      </c>
      <c r="G1" s="6" t="s">
        <v>602</v>
      </c>
      <c r="H1" s="6" t="s">
        <v>603</v>
      </c>
      <c r="I1" s="6" t="s">
        <v>604</v>
      </c>
      <c r="J1" s="6" t="s">
        <v>36</v>
      </c>
      <c r="K1" s="6" t="s">
        <v>605</v>
      </c>
      <c r="L1" s="6" t="s">
        <v>606</v>
      </c>
      <c r="M1" s="6" t="s">
        <v>607</v>
      </c>
      <c r="N1" s="6" t="s">
        <v>40</v>
      </c>
      <c r="O1" s="7" t="s">
        <v>41</v>
      </c>
      <c r="P1" s="6" t="s">
        <v>44</v>
      </c>
    </row>
    <row r="2" spans="1:16" ht="52.8" x14ac:dyDescent="0.3">
      <c r="A2" s="8">
        <v>1</v>
      </c>
      <c r="B2" s="9" t="s">
        <v>682</v>
      </c>
      <c r="C2" s="8" t="s">
        <v>609</v>
      </c>
      <c r="D2" s="8"/>
      <c r="E2" s="8">
        <v>1748</v>
      </c>
      <c r="F2" s="8" t="s">
        <v>683</v>
      </c>
      <c r="G2" s="8"/>
      <c r="H2" s="8"/>
      <c r="I2" s="8"/>
      <c r="J2" s="8"/>
      <c r="K2" s="8"/>
      <c r="L2" s="8"/>
      <c r="M2" s="8"/>
      <c r="N2" s="8" t="s">
        <v>684</v>
      </c>
      <c r="O2" s="11"/>
      <c r="P2" s="8" t="s">
        <v>64</v>
      </c>
    </row>
    <row r="3" spans="1:16" ht="52.8" x14ac:dyDescent="0.3">
      <c r="A3" s="8">
        <v>2</v>
      </c>
      <c r="B3" s="9" t="s">
        <v>685</v>
      </c>
      <c r="C3" s="8" t="s">
        <v>678</v>
      </c>
      <c r="D3" s="8"/>
      <c r="E3" s="8"/>
      <c r="F3" s="8" t="s">
        <v>686</v>
      </c>
      <c r="G3" s="8"/>
      <c r="H3" s="8"/>
      <c r="I3" s="8"/>
      <c r="J3" s="8"/>
      <c r="K3" s="8"/>
      <c r="L3" s="8"/>
      <c r="M3" s="8"/>
      <c r="N3" s="8" t="s">
        <v>687</v>
      </c>
      <c r="O3" s="11"/>
      <c r="P3" s="8" t="s">
        <v>64</v>
      </c>
    </row>
    <row r="4" spans="1:16" ht="52.8" x14ac:dyDescent="0.3">
      <c r="A4" s="8">
        <v>3</v>
      </c>
      <c r="B4" s="9" t="s">
        <v>688</v>
      </c>
      <c r="C4" s="8" t="s">
        <v>689</v>
      </c>
      <c r="D4" s="8"/>
      <c r="E4" s="8">
        <v>127</v>
      </c>
      <c r="F4" s="8" t="s">
        <v>690</v>
      </c>
      <c r="G4" s="8"/>
      <c r="H4" s="8"/>
      <c r="I4" s="8"/>
      <c r="J4" s="8"/>
      <c r="K4" s="8"/>
      <c r="L4" s="8"/>
      <c r="M4" s="8"/>
      <c r="N4" s="8" t="s">
        <v>691</v>
      </c>
      <c r="O4" s="11"/>
      <c r="P4" s="8" t="s">
        <v>64</v>
      </c>
    </row>
  </sheetData>
  <autoFilter ref="A1:P4" xr:uid="{00000000-0009-0000-0000-000009000000}"/>
  <dataValidations count="1">
    <dataValidation type="list" allowBlank="1" sqref="P2:P4" xr:uid="{00000000-0002-0000-0900-000000000000}">
      <formula1>"No,Writing,Done"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98"/>
  <sheetViews>
    <sheetView zoomScaleNormal="100" workbookViewId="0">
      <pane xSplit="2" ySplit="1" topLeftCell="C173" activePane="bottomRight" state="frozen"/>
      <selection pane="topRight" activeCell="C1" sqref="C1"/>
      <selection pane="bottomLeft" activeCell="A2" sqref="A2"/>
      <selection pane="bottomRight" activeCell="C176" sqref="C176"/>
    </sheetView>
  </sheetViews>
  <sheetFormatPr defaultColWidth="8.6640625" defaultRowHeight="14.4" x14ac:dyDescent="0.3"/>
  <cols>
    <col min="1" max="1" width="5" customWidth="1"/>
    <col min="2" max="2" width="13" customWidth="1"/>
    <col min="3" max="3" width="58" customWidth="1"/>
    <col min="4" max="4" width="7" customWidth="1"/>
    <col min="5" max="5" width="13" customWidth="1"/>
    <col min="6" max="6" width="62" customWidth="1"/>
    <col min="7" max="7" width="40" customWidth="1"/>
    <col min="8" max="8" width="11" customWidth="1"/>
    <col min="9" max="9" width="30" customWidth="1"/>
  </cols>
  <sheetData>
    <row r="1" spans="1:9" ht="33.75" customHeight="1" x14ac:dyDescent="0.3">
      <c r="A1" s="6" t="s">
        <v>18</v>
      </c>
      <c r="B1" s="6" t="s">
        <v>692</v>
      </c>
      <c r="C1" s="6" t="s">
        <v>693</v>
      </c>
      <c r="D1" s="6" t="s">
        <v>694</v>
      </c>
      <c r="E1" s="6" t="s">
        <v>695</v>
      </c>
      <c r="F1" s="6"/>
      <c r="G1" s="7" t="s">
        <v>696</v>
      </c>
      <c r="H1" s="7" t="s">
        <v>26</v>
      </c>
      <c r="I1" s="7" t="s">
        <v>697</v>
      </c>
    </row>
    <row r="2" spans="1:9" x14ac:dyDescent="0.3">
      <c r="A2" s="8">
        <v>1</v>
      </c>
      <c r="B2" s="8" t="s">
        <v>7</v>
      </c>
      <c r="C2" s="8" t="s">
        <v>698</v>
      </c>
      <c r="D2" s="8">
        <v>2024</v>
      </c>
      <c r="E2" s="8" t="s">
        <v>64</v>
      </c>
      <c r="F2" s="12"/>
      <c r="G2" s="11"/>
      <c r="H2" s="11" t="s">
        <v>5</v>
      </c>
      <c r="I2" s="11"/>
    </row>
    <row r="3" spans="1:9" x14ac:dyDescent="0.3">
      <c r="A3" s="8">
        <v>2</v>
      </c>
      <c r="B3" s="8" t="s">
        <v>7</v>
      </c>
      <c r="C3" s="8" t="s">
        <v>699</v>
      </c>
      <c r="D3" s="8">
        <v>2026</v>
      </c>
      <c r="E3" s="8" t="s">
        <v>700</v>
      </c>
      <c r="F3" s="12"/>
      <c r="G3" s="11"/>
      <c r="H3" s="11" t="s">
        <v>5</v>
      </c>
      <c r="I3" s="11"/>
    </row>
    <row r="4" spans="1:9" x14ac:dyDescent="0.3">
      <c r="A4" s="8">
        <v>3</v>
      </c>
      <c r="B4" s="8" t="s">
        <v>7</v>
      </c>
      <c r="C4" s="8" t="s">
        <v>701</v>
      </c>
      <c r="D4" s="8">
        <v>2026</v>
      </c>
      <c r="E4" s="8" t="s">
        <v>64</v>
      </c>
      <c r="F4" s="12"/>
      <c r="G4" s="11"/>
      <c r="H4" s="11" t="s">
        <v>5</v>
      </c>
      <c r="I4" s="11"/>
    </row>
    <row r="5" spans="1:9" x14ac:dyDescent="0.3">
      <c r="A5" s="8">
        <v>4</v>
      </c>
      <c r="B5" s="8" t="s">
        <v>7</v>
      </c>
      <c r="C5" s="8" t="s">
        <v>702</v>
      </c>
      <c r="D5" s="8">
        <v>2025</v>
      </c>
      <c r="E5" s="8" t="s">
        <v>64</v>
      </c>
      <c r="F5" s="12"/>
      <c r="G5" s="11"/>
      <c r="H5" s="11" t="s">
        <v>5</v>
      </c>
      <c r="I5" s="11"/>
    </row>
    <row r="6" spans="1:9" x14ac:dyDescent="0.3">
      <c r="A6" s="8">
        <v>5</v>
      </c>
      <c r="B6" s="8" t="s">
        <v>7</v>
      </c>
      <c r="C6" s="8" t="s">
        <v>703</v>
      </c>
      <c r="D6" s="8">
        <v>2025</v>
      </c>
      <c r="E6" s="8" t="s">
        <v>700</v>
      </c>
      <c r="F6" s="12"/>
      <c r="G6" s="11"/>
      <c r="H6" s="11" t="s">
        <v>5</v>
      </c>
      <c r="I6" s="11"/>
    </row>
    <row r="7" spans="1:9" x14ac:dyDescent="0.3">
      <c r="A7" s="8">
        <v>6</v>
      </c>
      <c r="B7" s="8" t="s">
        <v>7</v>
      </c>
      <c r="C7" s="8" t="s">
        <v>704</v>
      </c>
      <c r="D7" s="8">
        <v>2026</v>
      </c>
      <c r="E7" s="8" t="s">
        <v>64</v>
      </c>
      <c r="F7" s="12"/>
      <c r="G7" s="11"/>
      <c r="H7" s="11" t="s">
        <v>5</v>
      </c>
      <c r="I7" s="11"/>
    </row>
    <row r="8" spans="1:9" x14ac:dyDescent="0.3">
      <c r="A8" s="8">
        <v>7</v>
      </c>
      <c r="B8" s="8" t="s">
        <v>7</v>
      </c>
      <c r="C8" s="8" t="s">
        <v>705</v>
      </c>
      <c r="D8" s="8">
        <v>2026</v>
      </c>
      <c r="E8" s="8" t="s">
        <v>64</v>
      </c>
      <c r="F8" s="12"/>
      <c r="G8" s="11"/>
      <c r="H8" s="11" t="s">
        <v>5</v>
      </c>
      <c r="I8" s="11"/>
    </row>
    <row r="9" spans="1:9" x14ac:dyDescent="0.3">
      <c r="A9" s="8">
        <v>8</v>
      </c>
      <c r="B9" s="8" t="s">
        <v>7</v>
      </c>
      <c r="C9" s="8" t="s">
        <v>706</v>
      </c>
      <c r="D9" s="8">
        <v>2026</v>
      </c>
      <c r="E9" s="8" t="s">
        <v>64</v>
      </c>
      <c r="F9" s="12"/>
      <c r="G9" s="11"/>
      <c r="H9" s="11" t="s">
        <v>5</v>
      </c>
      <c r="I9" s="11"/>
    </row>
    <row r="10" spans="1:9" x14ac:dyDescent="0.3">
      <c r="A10" s="8">
        <v>9</v>
      </c>
      <c r="B10" s="8" t="s">
        <v>7</v>
      </c>
      <c r="C10" s="8" t="s">
        <v>707</v>
      </c>
      <c r="D10" s="8">
        <v>2026</v>
      </c>
      <c r="E10" s="8" t="s">
        <v>64</v>
      </c>
      <c r="F10" s="12"/>
      <c r="G10" s="11"/>
      <c r="H10" s="11" t="s">
        <v>5</v>
      </c>
      <c r="I10" s="11"/>
    </row>
    <row r="11" spans="1:9" x14ac:dyDescent="0.3">
      <c r="A11" s="8">
        <v>10</v>
      </c>
      <c r="B11" s="8" t="s">
        <v>7</v>
      </c>
      <c r="C11" s="8" t="s">
        <v>708</v>
      </c>
      <c r="D11" s="8">
        <v>2026</v>
      </c>
      <c r="E11" s="8" t="s">
        <v>64</v>
      </c>
      <c r="F11" s="12"/>
      <c r="G11" s="11"/>
      <c r="H11" s="11" t="s">
        <v>5</v>
      </c>
      <c r="I11" s="11"/>
    </row>
    <row r="12" spans="1:9" x14ac:dyDescent="0.3">
      <c r="A12" s="8">
        <v>11</v>
      </c>
      <c r="B12" s="8" t="s">
        <v>7</v>
      </c>
      <c r="C12" s="8" t="s">
        <v>709</v>
      </c>
      <c r="D12" s="8">
        <v>2026</v>
      </c>
      <c r="E12" s="8" t="s">
        <v>64</v>
      </c>
      <c r="F12" s="12"/>
      <c r="G12" s="11"/>
      <c r="H12" s="11" t="s">
        <v>5</v>
      </c>
      <c r="I12" s="11"/>
    </row>
    <row r="13" spans="1:9" x14ac:dyDescent="0.3">
      <c r="A13" s="8">
        <v>12</v>
      </c>
      <c r="B13" s="8" t="s">
        <v>7</v>
      </c>
      <c r="C13" s="8" t="s">
        <v>710</v>
      </c>
      <c r="D13" s="8">
        <v>2026</v>
      </c>
      <c r="E13" s="8" t="s">
        <v>700</v>
      </c>
      <c r="F13" s="12"/>
      <c r="G13" s="11"/>
      <c r="H13" s="11" t="s">
        <v>5</v>
      </c>
      <c r="I13" s="11"/>
    </row>
    <row r="14" spans="1:9" x14ac:dyDescent="0.3">
      <c r="A14" s="8">
        <v>13</v>
      </c>
      <c r="B14" s="8" t="s">
        <v>7</v>
      </c>
      <c r="C14" s="8" t="s">
        <v>711</v>
      </c>
      <c r="D14" s="8">
        <v>2026</v>
      </c>
      <c r="E14" s="8" t="s">
        <v>64</v>
      </c>
      <c r="F14" s="12"/>
      <c r="G14" s="11"/>
      <c r="H14" s="11" t="s">
        <v>5</v>
      </c>
      <c r="I14" s="11"/>
    </row>
    <row r="15" spans="1:9" x14ac:dyDescent="0.3">
      <c r="A15" s="8">
        <v>14</v>
      </c>
      <c r="B15" s="8" t="s">
        <v>7</v>
      </c>
      <c r="C15" s="8" t="s">
        <v>712</v>
      </c>
      <c r="D15" s="8">
        <v>2026</v>
      </c>
      <c r="E15" s="8" t="s">
        <v>64</v>
      </c>
      <c r="F15" s="12"/>
      <c r="G15" s="11"/>
      <c r="H15" s="11" t="s">
        <v>5</v>
      </c>
      <c r="I15" s="11"/>
    </row>
    <row r="16" spans="1:9" x14ac:dyDescent="0.3">
      <c r="A16" s="8">
        <v>15</v>
      </c>
      <c r="B16" s="8" t="s">
        <v>7</v>
      </c>
      <c r="C16" s="8" t="s">
        <v>713</v>
      </c>
      <c r="D16" s="8">
        <v>2026</v>
      </c>
      <c r="E16" s="8" t="s">
        <v>700</v>
      </c>
      <c r="F16" s="12"/>
      <c r="G16" s="11"/>
      <c r="H16" s="11" t="s">
        <v>5</v>
      </c>
      <c r="I16" s="11"/>
    </row>
    <row r="17" spans="1:9" x14ac:dyDescent="0.3">
      <c r="A17" s="8">
        <v>16</v>
      </c>
      <c r="B17" s="8" t="s">
        <v>7</v>
      </c>
      <c r="C17" s="8" t="s">
        <v>714</v>
      </c>
      <c r="D17" s="8">
        <v>2026</v>
      </c>
      <c r="E17" s="8" t="s">
        <v>700</v>
      </c>
      <c r="F17" s="12"/>
      <c r="G17" s="11"/>
      <c r="H17" s="11" t="s">
        <v>5</v>
      </c>
      <c r="I17" s="11"/>
    </row>
    <row r="18" spans="1:9" x14ac:dyDescent="0.3">
      <c r="A18" s="8">
        <v>17</v>
      </c>
      <c r="B18" s="8" t="s">
        <v>7</v>
      </c>
      <c r="C18" s="8" t="s">
        <v>715</v>
      </c>
      <c r="D18" s="8">
        <v>2026</v>
      </c>
      <c r="E18" s="8" t="s">
        <v>64</v>
      </c>
      <c r="F18" s="12"/>
      <c r="G18" s="11"/>
      <c r="H18" s="11" t="s">
        <v>5</v>
      </c>
      <c r="I18" s="11"/>
    </row>
    <row r="19" spans="1:9" x14ac:dyDescent="0.3">
      <c r="A19" s="8">
        <v>18</v>
      </c>
      <c r="B19" s="8" t="s">
        <v>7</v>
      </c>
      <c r="C19" s="8" t="s">
        <v>716</v>
      </c>
      <c r="D19" s="8">
        <v>2026</v>
      </c>
      <c r="E19" s="8" t="s">
        <v>64</v>
      </c>
      <c r="F19" s="12"/>
      <c r="G19" s="11"/>
      <c r="H19" s="11" t="s">
        <v>5</v>
      </c>
      <c r="I19" s="11"/>
    </row>
    <row r="20" spans="1:9" x14ac:dyDescent="0.3">
      <c r="A20" s="8">
        <v>19</v>
      </c>
      <c r="B20" s="8" t="s">
        <v>7</v>
      </c>
      <c r="C20" s="8" t="s">
        <v>717</v>
      </c>
      <c r="D20" s="8">
        <v>2026</v>
      </c>
      <c r="E20" s="8" t="s">
        <v>64</v>
      </c>
      <c r="F20" s="12"/>
      <c r="G20" s="11"/>
      <c r="H20" s="11" t="s">
        <v>5</v>
      </c>
      <c r="I20" s="11"/>
    </row>
    <row r="21" spans="1:9" x14ac:dyDescent="0.3">
      <c r="A21" s="8">
        <v>20</v>
      </c>
      <c r="B21" s="8" t="s">
        <v>7</v>
      </c>
      <c r="C21" s="8" t="s">
        <v>718</v>
      </c>
      <c r="D21" s="8">
        <v>2026</v>
      </c>
      <c r="E21" s="8" t="s">
        <v>700</v>
      </c>
      <c r="F21" s="12"/>
      <c r="G21" s="11"/>
      <c r="H21" s="11" t="s">
        <v>5</v>
      </c>
      <c r="I21" s="11"/>
    </row>
    <row r="22" spans="1:9" x14ac:dyDescent="0.3">
      <c r="A22" s="8">
        <v>21</v>
      </c>
      <c r="B22" s="8" t="s">
        <v>7</v>
      </c>
      <c r="C22" s="8" t="s">
        <v>719</v>
      </c>
      <c r="D22" s="8">
        <v>2027</v>
      </c>
      <c r="E22" s="8" t="s">
        <v>64</v>
      </c>
      <c r="F22" s="12"/>
      <c r="G22" s="11"/>
      <c r="H22" s="11" t="s">
        <v>5</v>
      </c>
      <c r="I22" s="11"/>
    </row>
    <row r="23" spans="1:9" x14ac:dyDescent="0.3">
      <c r="A23" s="8">
        <v>22</v>
      </c>
      <c r="B23" s="8" t="s">
        <v>7</v>
      </c>
      <c r="C23" s="8" t="s">
        <v>720</v>
      </c>
      <c r="D23" s="8">
        <v>2026</v>
      </c>
      <c r="E23" s="8" t="s">
        <v>64</v>
      </c>
      <c r="F23" s="12"/>
      <c r="G23" s="11"/>
      <c r="H23" s="11" t="s">
        <v>5</v>
      </c>
      <c r="I23" s="11"/>
    </row>
    <row r="24" spans="1:9" x14ac:dyDescent="0.3">
      <c r="A24" s="8">
        <v>23</v>
      </c>
      <c r="B24" s="8" t="s">
        <v>7</v>
      </c>
      <c r="C24" s="8" t="s">
        <v>721</v>
      </c>
      <c r="D24" s="8">
        <v>2026</v>
      </c>
      <c r="E24" s="8" t="s">
        <v>64</v>
      </c>
      <c r="F24" s="12"/>
      <c r="G24" s="11"/>
      <c r="H24" s="11" t="s">
        <v>5</v>
      </c>
      <c r="I24" s="11"/>
    </row>
    <row r="25" spans="1:9" x14ac:dyDescent="0.3">
      <c r="A25" s="8">
        <v>24</v>
      </c>
      <c r="B25" s="8" t="s">
        <v>7</v>
      </c>
      <c r="C25" s="8" t="s">
        <v>722</v>
      </c>
      <c r="D25" s="8">
        <v>2026</v>
      </c>
      <c r="E25" s="8" t="s">
        <v>64</v>
      </c>
      <c r="F25" s="12"/>
      <c r="G25" s="11"/>
      <c r="H25" s="11" t="s">
        <v>5</v>
      </c>
      <c r="I25" s="11"/>
    </row>
    <row r="26" spans="1:9" x14ac:dyDescent="0.3">
      <c r="A26" s="8">
        <v>25</v>
      </c>
      <c r="B26" s="8" t="s">
        <v>7</v>
      </c>
      <c r="C26" s="8" t="s">
        <v>723</v>
      </c>
      <c r="D26" s="8">
        <v>2026</v>
      </c>
      <c r="E26" s="8" t="s">
        <v>64</v>
      </c>
      <c r="F26" s="12"/>
      <c r="G26" s="11"/>
      <c r="H26" s="11" t="s">
        <v>5</v>
      </c>
      <c r="I26" s="11"/>
    </row>
    <row r="27" spans="1:9" x14ac:dyDescent="0.3">
      <c r="A27" s="8">
        <v>26</v>
      </c>
      <c r="B27" s="8" t="s">
        <v>7</v>
      </c>
      <c r="C27" s="8" t="s">
        <v>724</v>
      </c>
      <c r="D27" s="8">
        <v>2026</v>
      </c>
      <c r="E27" s="8" t="s">
        <v>64</v>
      </c>
      <c r="F27" s="12"/>
      <c r="G27" s="11"/>
      <c r="H27" s="11" t="s">
        <v>5</v>
      </c>
      <c r="I27" s="11"/>
    </row>
    <row r="28" spans="1:9" x14ac:dyDescent="0.3">
      <c r="A28" s="8">
        <v>27</v>
      </c>
      <c r="B28" s="8" t="s">
        <v>7</v>
      </c>
      <c r="C28" s="8" t="s">
        <v>725</v>
      </c>
      <c r="D28" s="8">
        <v>2026</v>
      </c>
      <c r="E28" s="8" t="s">
        <v>700</v>
      </c>
      <c r="F28" s="12"/>
      <c r="G28" s="11"/>
      <c r="H28" s="11" t="s">
        <v>5</v>
      </c>
      <c r="I28" s="11"/>
    </row>
    <row r="29" spans="1:9" x14ac:dyDescent="0.3">
      <c r="A29" s="8">
        <v>28</v>
      </c>
      <c r="B29" s="8" t="s">
        <v>7</v>
      </c>
      <c r="C29" s="8" t="s">
        <v>726</v>
      </c>
      <c r="D29" s="8">
        <v>2025</v>
      </c>
      <c r="E29" s="8" t="s">
        <v>64</v>
      </c>
      <c r="F29" s="12"/>
      <c r="G29" s="11"/>
      <c r="H29" s="11" t="s">
        <v>5</v>
      </c>
      <c r="I29" s="11"/>
    </row>
    <row r="30" spans="1:9" x14ac:dyDescent="0.3">
      <c r="A30" s="8">
        <v>29</v>
      </c>
      <c r="B30" s="8" t="s">
        <v>7</v>
      </c>
      <c r="C30" s="8" t="s">
        <v>727</v>
      </c>
      <c r="D30" s="8">
        <v>2025</v>
      </c>
      <c r="E30" s="8" t="s">
        <v>700</v>
      </c>
      <c r="F30" s="12"/>
      <c r="G30" s="11"/>
      <c r="H30" s="11" t="s">
        <v>5</v>
      </c>
      <c r="I30" s="11"/>
    </row>
    <row r="31" spans="1:9" x14ac:dyDescent="0.3">
      <c r="A31" s="8">
        <v>30</v>
      </c>
      <c r="B31" s="8" t="s">
        <v>7</v>
      </c>
      <c r="C31" s="8" t="s">
        <v>728</v>
      </c>
      <c r="D31" s="8">
        <v>2025</v>
      </c>
      <c r="E31" s="8" t="s">
        <v>700</v>
      </c>
      <c r="F31" s="12"/>
      <c r="G31" s="11"/>
      <c r="H31" s="11" t="s">
        <v>5</v>
      </c>
      <c r="I31" s="11"/>
    </row>
    <row r="32" spans="1:9" x14ac:dyDescent="0.3">
      <c r="A32" s="8">
        <v>31</v>
      </c>
      <c r="B32" s="8" t="s">
        <v>7</v>
      </c>
      <c r="C32" s="8" t="s">
        <v>729</v>
      </c>
      <c r="D32" s="8">
        <v>2025</v>
      </c>
      <c r="E32" s="8" t="s">
        <v>64</v>
      </c>
      <c r="F32" s="12"/>
      <c r="G32" s="11"/>
      <c r="H32" s="11" t="s">
        <v>5</v>
      </c>
      <c r="I32" s="11"/>
    </row>
    <row r="33" spans="1:9" x14ac:dyDescent="0.3">
      <c r="A33" s="8">
        <v>32</v>
      </c>
      <c r="B33" s="8" t="s">
        <v>7</v>
      </c>
      <c r="C33" s="8" t="s">
        <v>730</v>
      </c>
      <c r="D33" s="8">
        <v>2026</v>
      </c>
      <c r="E33" s="8" t="s">
        <v>64</v>
      </c>
      <c r="F33" s="12"/>
      <c r="G33" s="11"/>
      <c r="H33" s="11" t="s">
        <v>5</v>
      </c>
      <c r="I33" s="11"/>
    </row>
    <row r="34" spans="1:9" x14ac:dyDescent="0.3">
      <c r="A34" s="8">
        <v>33</v>
      </c>
      <c r="B34" s="8" t="s">
        <v>8</v>
      </c>
      <c r="C34" s="8" t="s">
        <v>731</v>
      </c>
      <c r="D34" s="8">
        <v>2026</v>
      </c>
      <c r="E34" s="8" t="s">
        <v>700</v>
      </c>
      <c r="F34" s="12"/>
      <c r="G34" s="11"/>
      <c r="H34" s="11" t="s">
        <v>5</v>
      </c>
      <c r="I34" s="11"/>
    </row>
    <row r="35" spans="1:9" x14ac:dyDescent="0.3">
      <c r="A35" s="8">
        <v>34</v>
      </c>
      <c r="B35" s="8" t="s">
        <v>8</v>
      </c>
      <c r="C35" s="8" t="s">
        <v>732</v>
      </c>
      <c r="D35" s="8">
        <v>2026</v>
      </c>
      <c r="E35" s="8" t="s">
        <v>700</v>
      </c>
      <c r="F35" s="12"/>
      <c r="G35" s="11"/>
      <c r="H35" s="11" t="s">
        <v>5</v>
      </c>
      <c r="I35" s="11"/>
    </row>
    <row r="36" spans="1:9" x14ac:dyDescent="0.3">
      <c r="A36" s="8">
        <v>35</v>
      </c>
      <c r="B36" s="8" t="s">
        <v>8</v>
      </c>
      <c r="C36" s="8" t="s">
        <v>733</v>
      </c>
      <c r="D36" s="8">
        <v>2026</v>
      </c>
      <c r="E36" s="8" t="s">
        <v>64</v>
      </c>
      <c r="F36" s="12"/>
      <c r="G36" s="11"/>
      <c r="H36" s="11" t="s">
        <v>5</v>
      </c>
      <c r="I36" s="11"/>
    </row>
    <row r="37" spans="1:9" x14ac:dyDescent="0.3">
      <c r="A37" s="8">
        <v>36</v>
      </c>
      <c r="B37" s="8" t="s">
        <v>8</v>
      </c>
      <c r="C37" s="8" t="s">
        <v>734</v>
      </c>
      <c r="D37" s="8">
        <v>2027</v>
      </c>
      <c r="E37" s="8" t="s">
        <v>700</v>
      </c>
      <c r="F37" s="12"/>
      <c r="G37" s="11"/>
      <c r="H37" s="11" t="s">
        <v>5</v>
      </c>
      <c r="I37" s="11"/>
    </row>
    <row r="38" spans="1:9" x14ac:dyDescent="0.3">
      <c r="A38" s="8">
        <v>37</v>
      </c>
      <c r="B38" s="8" t="s">
        <v>8</v>
      </c>
      <c r="C38" s="8" t="s">
        <v>735</v>
      </c>
      <c r="D38" s="8">
        <v>2026</v>
      </c>
      <c r="E38" s="8" t="s">
        <v>64</v>
      </c>
      <c r="F38" s="12"/>
      <c r="G38" s="11"/>
      <c r="H38" s="11" t="s">
        <v>5</v>
      </c>
      <c r="I38" s="11"/>
    </row>
    <row r="39" spans="1:9" x14ac:dyDescent="0.3">
      <c r="A39" s="8">
        <v>38</v>
      </c>
      <c r="B39" s="8" t="s">
        <v>8</v>
      </c>
      <c r="C39" s="8" t="s">
        <v>736</v>
      </c>
      <c r="D39" s="8">
        <v>2026</v>
      </c>
      <c r="E39" s="8" t="s">
        <v>64</v>
      </c>
      <c r="F39" s="12"/>
      <c r="G39" s="11"/>
      <c r="H39" s="11" t="s">
        <v>5</v>
      </c>
      <c r="I39" s="11"/>
    </row>
    <row r="40" spans="1:9" x14ac:dyDescent="0.3">
      <c r="A40" s="8">
        <v>39</v>
      </c>
      <c r="B40" s="8" t="s">
        <v>8</v>
      </c>
      <c r="C40" s="8" t="s">
        <v>737</v>
      </c>
      <c r="D40" s="8">
        <v>2026</v>
      </c>
      <c r="E40" s="8" t="s">
        <v>700</v>
      </c>
      <c r="F40" s="12"/>
      <c r="G40" s="11"/>
      <c r="H40" s="11" t="s">
        <v>5</v>
      </c>
      <c r="I40" s="11"/>
    </row>
    <row r="41" spans="1:9" x14ac:dyDescent="0.3">
      <c r="A41" s="8">
        <v>40</v>
      </c>
      <c r="B41" s="8" t="s">
        <v>8</v>
      </c>
      <c r="C41" s="8" t="s">
        <v>738</v>
      </c>
      <c r="D41" s="8">
        <v>2026</v>
      </c>
      <c r="E41" s="8" t="s">
        <v>700</v>
      </c>
      <c r="F41" s="12"/>
      <c r="G41" s="11"/>
      <c r="H41" s="11" t="s">
        <v>5</v>
      </c>
      <c r="I41" s="11"/>
    </row>
    <row r="42" spans="1:9" x14ac:dyDescent="0.3">
      <c r="A42" s="8">
        <v>41</v>
      </c>
      <c r="B42" s="8" t="s">
        <v>8</v>
      </c>
      <c r="C42" s="8" t="s">
        <v>739</v>
      </c>
      <c r="D42" s="8">
        <v>2026</v>
      </c>
      <c r="E42" s="8" t="s">
        <v>64</v>
      </c>
      <c r="F42" s="12"/>
      <c r="G42" s="11"/>
      <c r="H42" s="11" t="s">
        <v>5</v>
      </c>
      <c r="I42" s="11"/>
    </row>
    <row r="43" spans="1:9" x14ac:dyDescent="0.3">
      <c r="A43" s="8">
        <v>42</v>
      </c>
      <c r="B43" s="8" t="s">
        <v>8</v>
      </c>
      <c r="C43" s="8" t="s">
        <v>740</v>
      </c>
      <c r="D43" s="8">
        <v>2023</v>
      </c>
      <c r="E43" s="8" t="s">
        <v>64</v>
      </c>
      <c r="F43" s="12"/>
      <c r="G43" s="11"/>
      <c r="H43" s="11" t="s">
        <v>5</v>
      </c>
      <c r="I43" s="11"/>
    </row>
    <row r="44" spans="1:9" x14ac:dyDescent="0.3">
      <c r="A44" s="8">
        <v>43</v>
      </c>
      <c r="B44" s="8" t="s">
        <v>8</v>
      </c>
      <c r="C44" s="8" t="s">
        <v>741</v>
      </c>
      <c r="D44" s="8">
        <v>2026</v>
      </c>
      <c r="E44" s="8" t="s">
        <v>700</v>
      </c>
      <c r="F44" s="12"/>
      <c r="G44" s="11"/>
      <c r="H44" s="11" t="s">
        <v>5</v>
      </c>
      <c r="I44" s="11"/>
    </row>
    <row r="45" spans="1:9" x14ac:dyDescent="0.3">
      <c r="A45" s="8">
        <v>44</v>
      </c>
      <c r="B45" s="8" t="s">
        <v>8</v>
      </c>
      <c r="C45" s="8" t="s">
        <v>742</v>
      </c>
      <c r="D45" s="8">
        <v>2026</v>
      </c>
      <c r="E45" s="8" t="s">
        <v>700</v>
      </c>
      <c r="F45" s="12"/>
      <c r="G45" s="11"/>
      <c r="H45" s="11" t="s">
        <v>5</v>
      </c>
      <c r="I45" s="11"/>
    </row>
    <row r="46" spans="1:9" x14ac:dyDescent="0.3">
      <c r="A46" s="8">
        <v>45</v>
      </c>
      <c r="B46" s="8" t="s">
        <v>8</v>
      </c>
      <c r="C46" s="8" t="s">
        <v>743</v>
      </c>
      <c r="D46" s="8">
        <v>2026</v>
      </c>
      <c r="E46" s="8" t="s">
        <v>700</v>
      </c>
      <c r="F46" s="12"/>
      <c r="G46" s="11"/>
      <c r="H46" s="11" t="s">
        <v>5</v>
      </c>
      <c r="I46" s="11"/>
    </row>
    <row r="47" spans="1:9" x14ac:dyDescent="0.3">
      <c r="A47" s="8">
        <v>46</v>
      </c>
      <c r="B47" s="8" t="s">
        <v>8</v>
      </c>
      <c r="C47" s="8" t="s">
        <v>744</v>
      </c>
      <c r="D47" s="8">
        <v>2026</v>
      </c>
      <c r="E47" s="8" t="s">
        <v>64</v>
      </c>
      <c r="F47" s="12"/>
      <c r="G47" s="11"/>
      <c r="H47" s="11" t="s">
        <v>5</v>
      </c>
      <c r="I47" s="11"/>
    </row>
    <row r="48" spans="1:9" x14ac:dyDescent="0.3">
      <c r="A48" s="8">
        <v>47</v>
      </c>
      <c r="B48" s="8" t="s">
        <v>8</v>
      </c>
      <c r="C48" s="8" t="s">
        <v>745</v>
      </c>
      <c r="D48" s="8">
        <v>2026</v>
      </c>
      <c r="E48" s="8" t="s">
        <v>700</v>
      </c>
      <c r="F48" s="12"/>
      <c r="G48" s="11"/>
      <c r="H48" s="11" t="s">
        <v>5</v>
      </c>
      <c r="I48" s="11"/>
    </row>
    <row r="49" spans="1:9" x14ac:dyDescent="0.3">
      <c r="A49" s="8">
        <v>48</v>
      </c>
      <c r="B49" s="8" t="s">
        <v>8</v>
      </c>
      <c r="C49" s="8" t="s">
        <v>746</v>
      </c>
      <c r="D49" s="8">
        <v>2026</v>
      </c>
      <c r="E49" s="8" t="s">
        <v>700</v>
      </c>
      <c r="F49" s="12"/>
      <c r="G49" s="11"/>
      <c r="H49" s="11" t="s">
        <v>5</v>
      </c>
      <c r="I49" s="11"/>
    </row>
    <row r="50" spans="1:9" x14ac:dyDescent="0.3">
      <c r="A50" s="8">
        <v>49</v>
      </c>
      <c r="B50" s="8" t="s">
        <v>8</v>
      </c>
      <c r="C50" s="8" t="s">
        <v>747</v>
      </c>
      <c r="D50" s="8">
        <v>2025</v>
      </c>
      <c r="E50" s="8" t="s">
        <v>64</v>
      </c>
      <c r="F50" s="12"/>
      <c r="G50" s="11"/>
      <c r="H50" s="11" t="s">
        <v>5</v>
      </c>
      <c r="I50" s="11"/>
    </row>
    <row r="51" spans="1:9" x14ac:dyDescent="0.3">
      <c r="A51" s="8">
        <v>50</v>
      </c>
      <c r="B51" s="8" t="s">
        <v>8</v>
      </c>
      <c r="C51" s="8" t="s">
        <v>748</v>
      </c>
      <c r="D51" s="8">
        <v>2026</v>
      </c>
      <c r="E51" s="8" t="s">
        <v>64</v>
      </c>
      <c r="F51" s="12"/>
      <c r="G51" s="11"/>
      <c r="H51" s="11" t="s">
        <v>5</v>
      </c>
      <c r="I51" s="11"/>
    </row>
    <row r="52" spans="1:9" x14ac:dyDescent="0.3">
      <c r="A52" s="8">
        <v>51</v>
      </c>
      <c r="B52" s="8" t="s">
        <v>8</v>
      </c>
      <c r="C52" s="8" t="s">
        <v>749</v>
      </c>
      <c r="D52" s="8">
        <v>2026</v>
      </c>
      <c r="E52" s="8" t="s">
        <v>700</v>
      </c>
      <c r="F52" s="12"/>
      <c r="G52" s="11"/>
      <c r="H52" s="11" t="s">
        <v>5</v>
      </c>
      <c r="I52" s="11"/>
    </row>
    <row r="53" spans="1:9" x14ac:dyDescent="0.3">
      <c r="A53" s="8">
        <v>52</v>
      </c>
      <c r="B53" s="8" t="s">
        <v>8</v>
      </c>
      <c r="C53" s="8" t="s">
        <v>750</v>
      </c>
      <c r="D53" s="8">
        <v>2026</v>
      </c>
      <c r="E53" s="8" t="s">
        <v>700</v>
      </c>
      <c r="F53" s="12"/>
      <c r="G53" s="11"/>
      <c r="H53" s="11" t="s">
        <v>5</v>
      </c>
      <c r="I53" s="11"/>
    </row>
    <row r="54" spans="1:9" x14ac:dyDescent="0.3">
      <c r="A54" s="8">
        <v>53</v>
      </c>
      <c r="B54" s="8" t="s">
        <v>8</v>
      </c>
      <c r="C54" s="8" t="s">
        <v>751</v>
      </c>
      <c r="D54" s="8">
        <v>2026</v>
      </c>
      <c r="E54" s="8" t="s">
        <v>64</v>
      </c>
      <c r="F54" s="12"/>
      <c r="G54" s="11"/>
      <c r="H54" s="11" t="s">
        <v>5</v>
      </c>
      <c r="I54" s="11"/>
    </row>
    <row r="55" spans="1:9" x14ac:dyDescent="0.3">
      <c r="A55" s="8">
        <v>54</v>
      </c>
      <c r="B55" s="8" t="s">
        <v>8</v>
      </c>
      <c r="C55" s="8" t="s">
        <v>752</v>
      </c>
      <c r="D55" s="8">
        <v>2026</v>
      </c>
      <c r="E55" s="8" t="s">
        <v>64</v>
      </c>
      <c r="F55" s="12"/>
      <c r="G55" s="11"/>
      <c r="H55" s="11" t="s">
        <v>5</v>
      </c>
      <c r="I55" s="11"/>
    </row>
    <row r="56" spans="1:9" x14ac:dyDescent="0.3">
      <c r="A56" s="8">
        <v>55</v>
      </c>
      <c r="B56" s="8" t="s">
        <v>8</v>
      </c>
      <c r="C56" s="8" t="s">
        <v>753</v>
      </c>
      <c r="D56" s="8">
        <v>2026</v>
      </c>
      <c r="E56" s="8" t="s">
        <v>700</v>
      </c>
      <c r="F56" s="12"/>
      <c r="G56" s="11"/>
      <c r="H56" s="11" t="s">
        <v>5</v>
      </c>
      <c r="I56" s="11"/>
    </row>
    <row r="57" spans="1:9" x14ac:dyDescent="0.3">
      <c r="A57" s="8">
        <v>56</v>
      </c>
      <c r="B57" s="8" t="s">
        <v>8</v>
      </c>
      <c r="C57" s="8" t="s">
        <v>754</v>
      </c>
      <c r="D57" s="8">
        <v>2026</v>
      </c>
      <c r="E57" s="8" t="s">
        <v>64</v>
      </c>
      <c r="F57" s="12"/>
      <c r="G57" s="11"/>
      <c r="H57" s="11" t="s">
        <v>5</v>
      </c>
      <c r="I57" s="11"/>
    </row>
    <row r="58" spans="1:9" x14ac:dyDescent="0.3">
      <c r="A58" s="8">
        <v>57</v>
      </c>
      <c r="B58" s="8" t="s">
        <v>8</v>
      </c>
      <c r="C58" s="8" t="s">
        <v>755</v>
      </c>
      <c r="D58" s="8">
        <v>2026</v>
      </c>
      <c r="E58" s="8" t="s">
        <v>700</v>
      </c>
      <c r="F58" s="12"/>
      <c r="G58" s="11"/>
      <c r="H58" s="11" t="s">
        <v>5</v>
      </c>
      <c r="I58" s="11"/>
    </row>
    <row r="59" spans="1:9" x14ac:dyDescent="0.3">
      <c r="A59" s="8">
        <v>58</v>
      </c>
      <c r="B59" s="8" t="s">
        <v>8</v>
      </c>
      <c r="C59" s="8" t="s">
        <v>756</v>
      </c>
      <c r="D59" s="8">
        <v>2026</v>
      </c>
      <c r="E59" s="8" t="s">
        <v>700</v>
      </c>
      <c r="F59" s="12"/>
      <c r="G59" s="11"/>
      <c r="H59" s="11" t="s">
        <v>5</v>
      </c>
      <c r="I59" s="11"/>
    </row>
    <row r="60" spans="1:9" x14ac:dyDescent="0.3">
      <c r="A60" s="8">
        <v>59</v>
      </c>
      <c r="B60" s="8" t="s">
        <v>8</v>
      </c>
      <c r="C60" s="8" t="s">
        <v>757</v>
      </c>
      <c r="D60" s="8">
        <v>2026</v>
      </c>
      <c r="E60" s="8" t="s">
        <v>64</v>
      </c>
      <c r="F60" s="12"/>
      <c r="G60" s="11"/>
      <c r="H60" s="11" t="s">
        <v>5</v>
      </c>
      <c r="I60" s="11"/>
    </row>
    <row r="61" spans="1:9" x14ac:dyDescent="0.3">
      <c r="A61" s="8">
        <v>60</v>
      </c>
      <c r="B61" s="8" t="s">
        <v>8</v>
      </c>
      <c r="C61" s="8" t="s">
        <v>758</v>
      </c>
      <c r="D61" s="8">
        <v>2026</v>
      </c>
      <c r="E61" s="8" t="s">
        <v>64</v>
      </c>
      <c r="F61" s="12"/>
      <c r="G61" s="11"/>
      <c r="H61" s="11" t="s">
        <v>5</v>
      </c>
      <c r="I61" s="11"/>
    </row>
    <row r="62" spans="1:9" x14ac:dyDescent="0.3">
      <c r="A62" s="8">
        <v>61</v>
      </c>
      <c r="B62" s="8" t="s">
        <v>8</v>
      </c>
      <c r="C62" s="8" t="s">
        <v>759</v>
      </c>
      <c r="D62" s="8">
        <v>2026</v>
      </c>
      <c r="E62" s="8" t="s">
        <v>64</v>
      </c>
      <c r="F62" s="12"/>
      <c r="G62" s="11"/>
      <c r="H62" s="11" t="s">
        <v>5</v>
      </c>
      <c r="I62" s="11"/>
    </row>
    <row r="63" spans="1:9" x14ac:dyDescent="0.3">
      <c r="A63" s="8">
        <v>62</v>
      </c>
      <c r="B63" s="8" t="s">
        <v>8</v>
      </c>
      <c r="C63" s="8" t="s">
        <v>760</v>
      </c>
      <c r="D63" s="8">
        <v>2026</v>
      </c>
      <c r="E63" s="8" t="s">
        <v>700</v>
      </c>
      <c r="F63" s="12"/>
      <c r="G63" s="11"/>
      <c r="H63" s="11" t="s">
        <v>5</v>
      </c>
      <c r="I63" s="11"/>
    </row>
    <row r="64" spans="1:9" x14ac:dyDescent="0.3">
      <c r="A64" s="8">
        <v>63</v>
      </c>
      <c r="B64" s="8" t="s">
        <v>8</v>
      </c>
      <c r="C64" s="8" t="s">
        <v>761</v>
      </c>
      <c r="D64" s="8">
        <v>2026</v>
      </c>
      <c r="E64" s="8" t="s">
        <v>700</v>
      </c>
      <c r="F64" s="12"/>
      <c r="G64" s="11"/>
      <c r="H64" s="11" t="s">
        <v>5</v>
      </c>
      <c r="I64" s="11"/>
    </row>
    <row r="65" spans="1:9" x14ac:dyDescent="0.3">
      <c r="A65" s="8">
        <v>64</v>
      </c>
      <c r="B65" s="8" t="s">
        <v>6</v>
      </c>
      <c r="C65" s="8" t="s">
        <v>762</v>
      </c>
      <c r="D65" s="8">
        <v>2026</v>
      </c>
      <c r="E65" s="8" t="s">
        <v>700</v>
      </c>
      <c r="F65" s="12"/>
      <c r="G65" s="11"/>
      <c r="H65" s="11" t="s">
        <v>5</v>
      </c>
      <c r="I65" s="11"/>
    </row>
    <row r="66" spans="1:9" x14ac:dyDescent="0.3">
      <c r="A66" s="8">
        <v>65</v>
      </c>
      <c r="B66" s="8" t="s">
        <v>6</v>
      </c>
      <c r="C66" s="8" t="s">
        <v>763</v>
      </c>
      <c r="D66" s="8">
        <v>2026</v>
      </c>
      <c r="E66" s="8" t="s">
        <v>700</v>
      </c>
      <c r="F66" s="12"/>
      <c r="G66" s="11"/>
      <c r="H66" s="11" t="s">
        <v>5</v>
      </c>
      <c r="I66" s="11"/>
    </row>
    <row r="67" spans="1:9" x14ac:dyDescent="0.3">
      <c r="A67" s="8">
        <v>66</v>
      </c>
      <c r="B67" s="8" t="s">
        <v>6</v>
      </c>
      <c r="C67" s="8" t="s">
        <v>764</v>
      </c>
      <c r="D67" s="8">
        <v>2026</v>
      </c>
      <c r="E67" s="8" t="s">
        <v>64</v>
      </c>
      <c r="F67" s="12"/>
      <c r="G67" s="11"/>
      <c r="H67" s="11" t="s">
        <v>5</v>
      </c>
      <c r="I67" s="11"/>
    </row>
    <row r="68" spans="1:9" x14ac:dyDescent="0.3">
      <c r="A68" s="8">
        <v>67</v>
      </c>
      <c r="B68" s="8" t="s">
        <v>6</v>
      </c>
      <c r="C68" s="8" t="s">
        <v>765</v>
      </c>
      <c r="D68" s="8">
        <v>2026</v>
      </c>
      <c r="E68" s="8" t="s">
        <v>700</v>
      </c>
      <c r="F68" s="12"/>
      <c r="G68" s="11"/>
      <c r="H68" s="11" t="s">
        <v>5</v>
      </c>
      <c r="I68" s="11"/>
    </row>
    <row r="69" spans="1:9" x14ac:dyDescent="0.3">
      <c r="A69" s="8">
        <v>68</v>
      </c>
      <c r="B69" s="8" t="s">
        <v>6</v>
      </c>
      <c r="C69" s="8" t="s">
        <v>766</v>
      </c>
      <c r="D69" s="8">
        <v>2026</v>
      </c>
      <c r="E69" s="8" t="s">
        <v>700</v>
      </c>
      <c r="F69" s="12"/>
      <c r="G69" s="11"/>
      <c r="H69" s="11" t="s">
        <v>5</v>
      </c>
      <c r="I69" s="11"/>
    </row>
    <row r="70" spans="1:9" x14ac:dyDescent="0.3">
      <c r="A70" s="8">
        <v>69</v>
      </c>
      <c r="B70" s="8" t="s">
        <v>6</v>
      </c>
      <c r="C70" s="8" t="s">
        <v>767</v>
      </c>
      <c r="D70" s="8">
        <v>2026</v>
      </c>
      <c r="E70" s="8" t="s">
        <v>700</v>
      </c>
      <c r="F70" s="12"/>
      <c r="G70" s="11"/>
      <c r="H70" s="11" t="s">
        <v>5</v>
      </c>
      <c r="I70" s="11"/>
    </row>
    <row r="71" spans="1:9" x14ac:dyDescent="0.3">
      <c r="A71" s="8">
        <v>70</v>
      </c>
      <c r="B71" s="8" t="s">
        <v>6</v>
      </c>
      <c r="C71" s="8" t="s">
        <v>768</v>
      </c>
      <c r="D71" s="8">
        <v>2026</v>
      </c>
      <c r="E71" s="8" t="s">
        <v>700</v>
      </c>
      <c r="F71" s="12"/>
      <c r="G71" s="11"/>
      <c r="H71" s="11" t="s">
        <v>5</v>
      </c>
      <c r="I71" s="11"/>
    </row>
    <row r="72" spans="1:9" x14ac:dyDescent="0.3">
      <c r="A72" s="8">
        <v>71</v>
      </c>
      <c r="B72" s="8" t="s">
        <v>6</v>
      </c>
      <c r="C72" s="8" t="s">
        <v>769</v>
      </c>
      <c r="D72" s="8">
        <v>2026</v>
      </c>
      <c r="E72" s="8" t="s">
        <v>700</v>
      </c>
      <c r="F72" s="12"/>
      <c r="G72" s="11"/>
      <c r="H72" s="11" t="s">
        <v>5</v>
      </c>
      <c r="I72" s="11"/>
    </row>
    <row r="73" spans="1:9" x14ac:dyDescent="0.3">
      <c r="A73" s="8">
        <v>72</v>
      </c>
      <c r="B73" s="8" t="s">
        <v>6</v>
      </c>
      <c r="C73" s="8" t="s">
        <v>770</v>
      </c>
      <c r="D73" s="8">
        <v>2026</v>
      </c>
      <c r="E73" s="8" t="s">
        <v>700</v>
      </c>
      <c r="F73" s="12"/>
      <c r="G73" s="11"/>
      <c r="H73" s="11" t="s">
        <v>5</v>
      </c>
      <c r="I73" s="11"/>
    </row>
    <row r="74" spans="1:9" x14ac:dyDescent="0.3">
      <c r="A74" s="8">
        <v>73</v>
      </c>
      <c r="B74" s="8" t="s">
        <v>6</v>
      </c>
      <c r="C74" s="8" t="s">
        <v>771</v>
      </c>
      <c r="D74" s="8">
        <v>2026</v>
      </c>
      <c r="E74" s="8" t="s">
        <v>64</v>
      </c>
      <c r="F74" s="12"/>
      <c r="G74" s="11"/>
      <c r="H74" s="11" t="s">
        <v>5</v>
      </c>
      <c r="I74" s="11"/>
    </row>
    <row r="75" spans="1:9" x14ac:dyDescent="0.3">
      <c r="A75" s="8">
        <v>74</v>
      </c>
      <c r="B75" s="8" t="s">
        <v>6</v>
      </c>
      <c r="C75" s="8" t="s">
        <v>772</v>
      </c>
      <c r="D75" s="8">
        <v>2026</v>
      </c>
      <c r="E75" s="8" t="s">
        <v>700</v>
      </c>
      <c r="F75" s="12"/>
      <c r="G75" s="11"/>
      <c r="H75" s="11" t="s">
        <v>5</v>
      </c>
      <c r="I75" s="11"/>
    </row>
    <row r="76" spans="1:9" x14ac:dyDescent="0.3">
      <c r="A76" s="8">
        <v>75</v>
      </c>
      <c r="B76" s="8" t="s">
        <v>6</v>
      </c>
      <c r="C76" s="8" t="s">
        <v>773</v>
      </c>
      <c r="D76" s="8">
        <v>2026</v>
      </c>
      <c r="E76" s="8" t="s">
        <v>700</v>
      </c>
      <c r="F76" s="12"/>
      <c r="G76" s="11"/>
      <c r="H76" s="11" t="s">
        <v>5</v>
      </c>
      <c r="I76" s="11"/>
    </row>
    <row r="77" spans="1:9" x14ac:dyDescent="0.3">
      <c r="A77" s="8">
        <v>76</v>
      </c>
      <c r="B77" s="8" t="s">
        <v>6</v>
      </c>
      <c r="C77" s="8" t="s">
        <v>774</v>
      </c>
      <c r="D77" s="8">
        <v>2026</v>
      </c>
      <c r="E77" s="8" t="s">
        <v>700</v>
      </c>
      <c r="F77" s="12"/>
      <c r="G77" s="11"/>
      <c r="H77" s="11" t="s">
        <v>5</v>
      </c>
      <c r="I77" s="11"/>
    </row>
    <row r="78" spans="1:9" x14ac:dyDescent="0.3">
      <c r="A78" s="8">
        <v>77</v>
      </c>
      <c r="B78" s="8" t="s">
        <v>6</v>
      </c>
      <c r="C78" s="8" t="s">
        <v>775</v>
      </c>
      <c r="D78" s="8">
        <v>2026</v>
      </c>
      <c r="E78" s="8" t="s">
        <v>700</v>
      </c>
      <c r="F78" s="12"/>
      <c r="G78" s="11"/>
      <c r="H78" s="11" t="s">
        <v>5</v>
      </c>
      <c r="I78" s="11"/>
    </row>
    <row r="79" spans="1:9" x14ac:dyDescent="0.3">
      <c r="A79" s="8">
        <v>78</v>
      </c>
      <c r="B79" s="8" t="s">
        <v>6</v>
      </c>
      <c r="C79" s="8" t="s">
        <v>776</v>
      </c>
      <c r="D79" s="8">
        <v>2026</v>
      </c>
      <c r="E79" s="8" t="s">
        <v>700</v>
      </c>
      <c r="F79" s="12"/>
      <c r="G79" s="11"/>
      <c r="H79" s="11" t="s">
        <v>5</v>
      </c>
      <c r="I79" s="11"/>
    </row>
    <row r="80" spans="1:9" x14ac:dyDescent="0.3">
      <c r="A80" s="8">
        <v>79</v>
      </c>
      <c r="B80" s="8" t="s">
        <v>6</v>
      </c>
      <c r="C80" s="8" t="s">
        <v>777</v>
      </c>
      <c r="D80" s="8">
        <v>2026</v>
      </c>
      <c r="E80" s="8" t="s">
        <v>700</v>
      </c>
      <c r="F80" s="12"/>
      <c r="G80" s="11"/>
      <c r="H80" s="11" t="s">
        <v>5</v>
      </c>
      <c r="I80" s="11"/>
    </row>
    <row r="81" spans="1:9" x14ac:dyDescent="0.3">
      <c r="A81" s="8">
        <v>80</v>
      </c>
      <c r="B81" s="8" t="s">
        <v>6</v>
      </c>
      <c r="C81" s="8" t="s">
        <v>778</v>
      </c>
      <c r="D81" s="8">
        <v>2026</v>
      </c>
      <c r="E81" s="8" t="s">
        <v>700</v>
      </c>
      <c r="F81" s="12"/>
      <c r="G81" s="11"/>
      <c r="H81" s="11" t="s">
        <v>5</v>
      </c>
      <c r="I81" s="11"/>
    </row>
    <row r="82" spans="1:9" x14ac:dyDescent="0.3">
      <c r="A82" s="8">
        <v>81</v>
      </c>
      <c r="B82" s="8" t="s">
        <v>6</v>
      </c>
      <c r="C82" s="8" t="s">
        <v>779</v>
      </c>
      <c r="D82" s="8">
        <v>2026</v>
      </c>
      <c r="E82" s="8" t="s">
        <v>700</v>
      </c>
      <c r="F82" s="12"/>
      <c r="G82" s="11"/>
      <c r="H82" s="11" t="s">
        <v>5</v>
      </c>
      <c r="I82" s="11"/>
    </row>
    <row r="83" spans="1:9" x14ac:dyDescent="0.3">
      <c r="A83" s="8">
        <v>82</v>
      </c>
      <c r="B83" s="8" t="s">
        <v>6</v>
      </c>
      <c r="C83" s="8" t="s">
        <v>780</v>
      </c>
      <c r="D83" s="8">
        <v>2026</v>
      </c>
      <c r="E83" s="8" t="s">
        <v>64</v>
      </c>
      <c r="F83" s="12"/>
      <c r="G83" s="11"/>
      <c r="H83" s="11" t="s">
        <v>5</v>
      </c>
      <c r="I83" s="11"/>
    </row>
    <row r="84" spans="1:9" x14ac:dyDescent="0.3">
      <c r="A84" s="8">
        <v>83</v>
      </c>
      <c r="B84" s="8" t="s">
        <v>6</v>
      </c>
      <c r="C84" s="8" t="s">
        <v>781</v>
      </c>
      <c r="D84" s="8">
        <v>2026</v>
      </c>
      <c r="E84" s="8" t="s">
        <v>700</v>
      </c>
      <c r="F84" s="12"/>
      <c r="G84" s="11"/>
      <c r="H84" s="11" t="s">
        <v>5</v>
      </c>
      <c r="I84" s="11"/>
    </row>
    <row r="85" spans="1:9" x14ac:dyDescent="0.3">
      <c r="A85" s="8">
        <v>84</v>
      </c>
      <c r="B85" s="8" t="s">
        <v>6</v>
      </c>
      <c r="C85" s="8" t="s">
        <v>782</v>
      </c>
      <c r="D85" s="8">
        <v>2026</v>
      </c>
      <c r="E85" s="8" t="s">
        <v>64</v>
      </c>
      <c r="F85" s="12"/>
      <c r="G85" s="11"/>
      <c r="H85" s="11" t="s">
        <v>5</v>
      </c>
      <c r="I85" s="11"/>
    </row>
    <row r="86" spans="1:9" x14ac:dyDescent="0.3">
      <c r="A86" s="8">
        <v>85</v>
      </c>
      <c r="B86" s="8" t="s">
        <v>6</v>
      </c>
      <c r="C86" s="8" t="s">
        <v>783</v>
      </c>
      <c r="D86" s="8">
        <v>2026</v>
      </c>
      <c r="E86" s="8" t="s">
        <v>700</v>
      </c>
      <c r="F86" s="12"/>
      <c r="G86" s="11"/>
      <c r="H86" s="11" t="s">
        <v>5</v>
      </c>
      <c r="I86" s="11"/>
    </row>
    <row r="87" spans="1:9" x14ac:dyDescent="0.3">
      <c r="A87" s="8">
        <v>86</v>
      </c>
      <c r="B87" s="8" t="s">
        <v>6</v>
      </c>
      <c r="C87" s="8" t="s">
        <v>784</v>
      </c>
      <c r="D87" s="8">
        <v>2026</v>
      </c>
      <c r="E87" s="8" t="s">
        <v>700</v>
      </c>
      <c r="F87" s="12"/>
      <c r="G87" s="11"/>
      <c r="H87" s="11" t="s">
        <v>5</v>
      </c>
      <c r="I87" s="11"/>
    </row>
    <row r="88" spans="1:9" x14ac:dyDescent="0.3">
      <c r="A88" s="8">
        <v>87</v>
      </c>
      <c r="B88" s="8" t="s">
        <v>6</v>
      </c>
      <c r="C88" s="8" t="s">
        <v>785</v>
      </c>
      <c r="D88" s="8">
        <v>2026</v>
      </c>
      <c r="E88" s="8" t="s">
        <v>700</v>
      </c>
      <c r="F88" s="12"/>
      <c r="G88" s="11"/>
      <c r="H88" s="11" t="s">
        <v>5</v>
      </c>
      <c r="I88" s="11"/>
    </row>
    <row r="89" spans="1:9" x14ac:dyDescent="0.3">
      <c r="A89" s="8">
        <v>88</v>
      </c>
      <c r="B89" s="8" t="s">
        <v>6</v>
      </c>
      <c r="C89" s="8" t="s">
        <v>786</v>
      </c>
      <c r="D89" s="8">
        <v>2026</v>
      </c>
      <c r="E89" s="8" t="s">
        <v>700</v>
      </c>
      <c r="F89" s="12"/>
      <c r="G89" s="11"/>
      <c r="H89" s="11" t="s">
        <v>5</v>
      </c>
      <c r="I89" s="11"/>
    </row>
    <row r="90" spans="1:9" x14ac:dyDescent="0.3">
      <c r="A90" s="8">
        <v>89</v>
      </c>
      <c r="B90" s="8" t="s">
        <v>6</v>
      </c>
      <c r="C90" s="8" t="s">
        <v>787</v>
      </c>
      <c r="D90" s="8">
        <v>2026</v>
      </c>
      <c r="E90" s="8" t="s">
        <v>64</v>
      </c>
      <c r="F90" s="12"/>
      <c r="G90" s="11"/>
      <c r="H90" s="11" t="s">
        <v>5</v>
      </c>
      <c r="I90" s="11"/>
    </row>
    <row r="91" spans="1:9" x14ac:dyDescent="0.3">
      <c r="A91" s="8">
        <v>90</v>
      </c>
      <c r="B91" s="8" t="s">
        <v>6</v>
      </c>
      <c r="C91" s="8" t="s">
        <v>788</v>
      </c>
      <c r="D91" s="8">
        <v>2026</v>
      </c>
      <c r="E91" s="8" t="s">
        <v>64</v>
      </c>
      <c r="F91" s="12"/>
      <c r="G91" s="11"/>
      <c r="H91" s="11" t="s">
        <v>5</v>
      </c>
      <c r="I91" s="11"/>
    </row>
    <row r="92" spans="1:9" ht="26.4" x14ac:dyDescent="0.3">
      <c r="A92" s="8">
        <v>91</v>
      </c>
      <c r="B92" s="8" t="s">
        <v>6</v>
      </c>
      <c r="C92" s="8" t="s">
        <v>789</v>
      </c>
      <c r="D92" s="8">
        <v>2026</v>
      </c>
      <c r="E92" s="8" t="s">
        <v>64</v>
      </c>
      <c r="F92" s="12"/>
      <c r="G92" s="11"/>
      <c r="H92" s="11" t="s">
        <v>5</v>
      </c>
      <c r="I92" s="11"/>
    </row>
    <row r="93" spans="1:9" x14ac:dyDescent="0.3">
      <c r="A93" s="8">
        <v>92</v>
      </c>
      <c r="B93" s="8" t="s">
        <v>6</v>
      </c>
      <c r="C93" s="8" t="s">
        <v>790</v>
      </c>
      <c r="D93" s="8">
        <v>2026</v>
      </c>
      <c r="E93" s="8" t="s">
        <v>64</v>
      </c>
      <c r="F93" s="12"/>
      <c r="G93" s="11"/>
      <c r="H93" s="11" t="s">
        <v>5</v>
      </c>
      <c r="I93" s="11"/>
    </row>
    <row r="94" spans="1:9" x14ac:dyDescent="0.3">
      <c r="A94" s="8">
        <v>93</v>
      </c>
      <c r="B94" s="8" t="s">
        <v>6</v>
      </c>
      <c r="C94" s="8" t="s">
        <v>791</v>
      </c>
      <c r="D94" s="8">
        <v>2026</v>
      </c>
      <c r="E94" s="8" t="s">
        <v>64</v>
      </c>
      <c r="F94" s="12"/>
      <c r="G94" s="11"/>
      <c r="H94" s="11" t="s">
        <v>5</v>
      </c>
      <c r="I94" s="11"/>
    </row>
    <row r="95" spans="1:9" x14ac:dyDescent="0.3">
      <c r="A95" s="8">
        <v>94</v>
      </c>
      <c r="B95" s="8" t="s">
        <v>6</v>
      </c>
      <c r="C95" s="8" t="s">
        <v>792</v>
      </c>
      <c r="D95" s="8">
        <v>2026</v>
      </c>
      <c r="E95" s="8" t="s">
        <v>700</v>
      </c>
      <c r="F95" s="12"/>
      <c r="G95" s="11"/>
      <c r="H95" s="11" t="s">
        <v>5</v>
      </c>
      <c r="I95" s="11"/>
    </row>
    <row r="96" spans="1:9" x14ac:dyDescent="0.3">
      <c r="A96" s="8">
        <v>95</v>
      </c>
      <c r="B96" s="8" t="s">
        <v>6</v>
      </c>
      <c r="C96" s="8" t="s">
        <v>793</v>
      </c>
      <c r="D96" s="8">
        <v>2026</v>
      </c>
      <c r="E96" s="8" t="s">
        <v>700</v>
      </c>
      <c r="F96" s="12"/>
      <c r="G96" s="11"/>
      <c r="H96" s="11" t="s">
        <v>5</v>
      </c>
      <c r="I96" s="11"/>
    </row>
    <row r="97" spans="1:9" x14ac:dyDescent="0.3">
      <c r="A97" s="8">
        <v>96</v>
      </c>
      <c r="B97" s="8" t="s">
        <v>9</v>
      </c>
      <c r="C97" s="8" t="s">
        <v>794</v>
      </c>
      <c r="D97" s="8">
        <v>2026</v>
      </c>
      <c r="E97" s="8" t="s">
        <v>64</v>
      </c>
      <c r="F97" s="12"/>
      <c r="G97" s="11"/>
      <c r="H97" s="11" t="s">
        <v>5</v>
      </c>
      <c r="I97" s="11"/>
    </row>
    <row r="98" spans="1:9" x14ac:dyDescent="0.3">
      <c r="A98" s="8">
        <v>97</v>
      </c>
      <c r="B98" s="8" t="s">
        <v>9</v>
      </c>
      <c r="C98" s="8" t="s">
        <v>653</v>
      </c>
      <c r="D98" s="8">
        <v>2026</v>
      </c>
      <c r="E98" s="8" t="s">
        <v>700</v>
      </c>
      <c r="F98" s="12"/>
      <c r="G98" s="11"/>
      <c r="H98" s="11" t="s">
        <v>5</v>
      </c>
      <c r="I98" s="11"/>
    </row>
    <row r="99" spans="1:9" x14ac:dyDescent="0.3">
      <c r="A99" s="8">
        <v>98</v>
      </c>
      <c r="B99" s="8" t="s">
        <v>9</v>
      </c>
      <c r="C99" s="8" t="s">
        <v>795</v>
      </c>
      <c r="D99" s="8">
        <v>2026</v>
      </c>
      <c r="E99" s="8" t="s">
        <v>700</v>
      </c>
      <c r="F99" s="12"/>
      <c r="G99" s="11"/>
      <c r="H99" s="11" t="s">
        <v>5</v>
      </c>
      <c r="I99" s="11"/>
    </row>
    <row r="100" spans="1:9" x14ac:dyDescent="0.3">
      <c r="A100" s="8">
        <v>99</v>
      </c>
      <c r="B100" s="8" t="s">
        <v>9</v>
      </c>
      <c r="C100" s="8" t="s">
        <v>796</v>
      </c>
      <c r="D100" s="8">
        <v>2026</v>
      </c>
      <c r="E100" s="8" t="s">
        <v>700</v>
      </c>
      <c r="F100" s="12"/>
      <c r="G100" s="11"/>
      <c r="H100" s="11" t="s">
        <v>5</v>
      </c>
      <c r="I100" s="11"/>
    </row>
    <row r="101" spans="1:9" x14ac:dyDescent="0.3">
      <c r="A101" s="8">
        <v>100</v>
      </c>
      <c r="B101" s="8" t="s">
        <v>9</v>
      </c>
      <c r="C101" s="8" t="s">
        <v>797</v>
      </c>
      <c r="D101" s="8">
        <v>2026</v>
      </c>
      <c r="E101" s="8" t="s">
        <v>64</v>
      </c>
      <c r="F101" s="12"/>
      <c r="G101" s="11"/>
      <c r="H101" s="11" t="s">
        <v>5</v>
      </c>
      <c r="I101" s="11"/>
    </row>
    <row r="102" spans="1:9" x14ac:dyDescent="0.3">
      <c r="A102" s="8">
        <v>101</v>
      </c>
      <c r="B102" s="8" t="s">
        <v>9</v>
      </c>
      <c r="C102" s="8" t="s">
        <v>798</v>
      </c>
      <c r="D102" s="8">
        <v>2026</v>
      </c>
      <c r="E102" s="8" t="s">
        <v>700</v>
      </c>
      <c r="F102" s="12"/>
      <c r="G102" s="11"/>
      <c r="H102" s="11" t="s">
        <v>5</v>
      </c>
      <c r="I102" s="11"/>
    </row>
    <row r="103" spans="1:9" x14ac:dyDescent="0.3">
      <c r="A103" s="8">
        <v>102</v>
      </c>
      <c r="B103" s="8" t="s">
        <v>9</v>
      </c>
      <c r="C103" s="8" t="s">
        <v>799</v>
      </c>
      <c r="D103" s="8">
        <v>2026</v>
      </c>
      <c r="E103" s="8" t="s">
        <v>700</v>
      </c>
      <c r="F103" s="12"/>
      <c r="G103" s="11"/>
      <c r="H103" s="11" t="s">
        <v>5</v>
      </c>
      <c r="I103" s="11"/>
    </row>
    <row r="104" spans="1:9" x14ac:dyDescent="0.3">
      <c r="A104" s="8">
        <v>103</v>
      </c>
      <c r="B104" s="8" t="s">
        <v>9</v>
      </c>
      <c r="C104" s="8" t="s">
        <v>800</v>
      </c>
      <c r="D104" s="8">
        <v>2026</v>
      </c>
      <c r="E104" s="8" t="s">
        <v>700</v>
      </c>
      <c r="F104" s="12"/>
      <c r="G104" s="11"/>
      <c r="H104" s="11" t="s">
        <v>5</v>
      </c>
      <c r="I104" s="11"/>
    </row>
    <row r="105" spans="1:9" x14ac:dyDescent="0.3">
      <c r="A105" s="8">
        <v>104</v>
      </c>
      <c r="B105" s="8" t="s">
        <v>9</v>
      </c>
      <c r="C105" s="8" t="s">
        <v>801</v>
      </c>
      <c r="D105" s="8">
        <v>2026</v>
      </c>
      <c r="E105" s="8" t="s">
        <v>64</v>
      </c>
      <c r="F105" s="12"/>
      <c r="G105" s="11"/>
      <c r="H105" s="11" t="s">
        <v>5</v>
      </c>
      <c r="I105" s="11"/>
    </row>
    <row r="106" spans="1:9" x14ac:dyDescent="0.3">
      <c r="A106" s="8">
        <v>105</v>
      </c>
      <c r="B106" s="8" t="s">
        <v>9</v>
      </c>
      <c r="C106" s="8" t="s">
        <v>802</v>
      </c>
      <c r="D106" s="8">
        <v>2026</v>
      </c>
      <c r="E106" s="8" t="s">
        <v>64</v>
      </c>
      <c r="F106" s="12"/>
      <c r="G106" s="11"/>
      <c r="H106" s="11" t="s">
        <v>5</v>
      </c>
      <c r="I106" s="11"/>
    </row>
    <row r="107" spans="1:9" x14ac:dyDescent="0.3">
      <c r="A107" s="8">
        <v>106</v>
      </c>
      <c r="B107" s="8" t="s">
        <v>9</v>
      </c>
      <c r="C107" s="8" t="s">
        <v>803</v>
      </c>
      <c r="D107" s="8">
        <v>2026</v>
      </c>
      <c r="E107" s="8" t="s">
        <v>64</v>
      </c>
      <c r="F107" s="12"/>
      <c r="G107" s="11"/>
      <c r="H107" s="11" t="s">
        <v>5</v>
      </c>
      <c r="I107" s="11"/>
    </row>
    <row r="108" spans="1:9" x14ac:dyDescent="0.3">
      <c r="A108" s="8">
        <v>107</v>
      </c>
      <c r="B108" s="8" t="s">
        <v>9</v>
      </c>
      <c r="C108" s="8" t="s">
        <v>804</v>
      </c>
      <c r="D108" s="8">
        <v>2027</v>
      </c>
      <c r="E108" s="8" t="s">
        <v>64</v>
      </c>
      <c r="F108" s="12"/>
      <c r="G108" s="11"/>
      <c r="H108" s="11" t="s">
        <v>5</v>
      </c>
      <c r="I108" s="11"/>
    </row>
    <row r="109" spans="1:9" x14ac:dyDescent="0.3">
      <c r="A109" s="8">
        <v>108</v>
      </c>
      <c r="B109" s="8" t="s">
        <v>9</v>
      </c>
      <c r="C109" s="8" t="s">
        <v>805</v>
      </c>
      <c r="D109" s="8">
        <v>2026</v>
      </c>
      <c r="E109" s="8" t="s">
        <v>700</v>
      </c>
      <c r="F109" s="12"/>
      <c r="G109" s="11"/>
      <c r="H109" s="11" t="s">
        <v>5</v>
      </c>
      <c r="I109" s="11"/>
    </row>
    <row r="110" spans="1:9" x14ac:dyDescent="0.3">
      <c r="A110" s="8">
        <v>109</v>
      </c>
      <c r="B110" s="8" t="s">
        <v>9</v>
      </c>
      <c r="C110" s="8" t="s">
        <v>806</v>
      </c>
      <c r="D110" s="8">
        <v>2026</v>
      </c>
      <c r="E110" s="8" t="s">
        <v>64</v>
      </c>
      <c r="F110" s="12"/>
      <c r="G110" s="11"/>
      <c r="H110" s="11" t="s">
        <v>5</v>
      </c>
      <c r="I110" s="11"/>
    </row>
    <row r="111" spans="1:9" x14ac:dyDescent="0.3">
      <c r="A111" s="8">
        <v>110</v>
      </c>
      <c r="B111" s="8" t="s">
        <v>9</v>
      </c>
      <c r="C111" s="8" t="s">
        <v>807</v>
      </c>
      <c r="D111" s="8">
        <v>2025</v>
      </c>
      <c r="E111" s="8" t="s">
        <v>64</v>
      </c>
      <c r="F111" s="12"/>
      <c r="G111" s="11"/>
      <c r="H111" s="11" t="s">
        <v>5</v>
      </c>
      <c r="I111" s="11"/>
    </row>
    <row r="112" spans="1:9" x14ac:dyDescent="0.3">
      <c r="A112" s="8">
        <v>111</v>
      </c>
      <c r="B112" s="8" t="s">
        <v>9</v>
      </c>
      <c r="C112" s="8" t="s">
        <v>808</v>
      </c>
      <c r="D112" s="8">
        <v>2026</v>
      </c>
      <c r="E112" s="8" t="s">
        <v>64</v>
      </c>
      <c r="F112" s="12"/>
      <c r="G112" s="11"/>
      <c r="H112" s="11" t="s">
        <v>5</v>
      </c>
      <c r="I112" s="11"/>
    </row>
    <row r="113" spans="1:9" x14ac:dyDescent="0.3">
      <c r="A113" s="8">
        <v>112</v>
      </c>
      <c r="B113" s="8" t="s">
        <v>9</v>
      </c>
      <c r="C113" s="8" t="s">
        <v>809</v>
      </c>
      <c r="D113" s="8">
        <v>2026</v>
      </c>
      <c r="E113" s="8" t="s">
        <v>700</v>
      </c>
      <c r="F113" s="12"/>
      <c r="G113" s="11"/>
      <c r="H113" s="11" t="s">
        <v>5</v>
      </c>
      <c r="I113" s="11"/>
    </row>
    <row r="114" spans="1:9" x14ac:dyDescent="0.3">
      <c r="A114" s="8">
        <v>113</v>
      </c>
      <c r="B114" s="8" t="s">
        <v>9</v>
      </c>
      <c r="C114" s="8" t="s">
        <v>810</v>
      </c>
      <c r="D114" s="8">
        <v>2026</v>
      </c>
      <c r="E114" s="8" t="s">
        <v>64</v>
      </c>
      <c r="F114" s="12"/>
      <c r="G114" s="11"/>
      <c r="H114" s="11" t="s">
        <v>5</v>
      </c>
      <c r="I114" s="11"/>
    </row>
    <row r="115" spans="1:9" x14ac:dyDescent="0.3">
      <c r="A115" s="8">
        <v>114</v>
      </c>
      <c r="B115" s="8" t="s">
        <v>9</v>
      </c>
      <c r="C115" s="8" t="s">
        <v>811</v>
      </c>
      <c r="D115" s="8">
        <v>2026</v>
      </c>
      <c r="E115" s="8" t="s">
        <v>64</v>
      </c>
      <c r="F115" s="12"/>
      <c r="G115" s="11"/>
      <c r="H115" s="11" t="s">
        <v>5</v>
      </c>
      <c r="I115" s="11"/>
    </row>
    <row r="116" spans="1:9" x14ac:dyDescent="0.3">
      <c r="A116" s="8">
        <v>115</v>
      </c>
      <c r="B116" s="8" t="s">
        <v>9</v>
      </c>
      <c r="C116" s="8" t="s">
        <v>812</v>
      </c>
      <c r="D116" s="8">
        <v>2026</v>
      </c>
      <c r="E116" s="8" t="s">
        <v>700</v>
      </c>
      <c r="F116" s="12"/>
      <c r="G116" s="11"/>
      <c r="H116" s="11" t="s">
        <v>5</v>
      </c>
      <c r="I116" s="11"/>
    </row>
    <row r="117" spans="1:9" x14ac:dyDescent="0.3">
      <c r="A117" s="8">
        <v>116</v>
      </c>
      <c r="B117" s="8" t="s">
        <v>9</v>
      </c>
      <c r="C117" s="8" t="s">
        <v>813</v>
      </c>
      <c r="D117" s="8">
        <v>2026</v>
      </c>
      <c r="E117" s="8" t="s">
        <v>64</v>
      </c>
      <c r="F117" s="12"/>
      <c r="G117" s="11"/>
      <c r="H117" s="11" t="s">
        <v>5</v>
      </c>
      <c r="I117" s="11"/>
    </row>
    <row r="118" spans="1:9" x14ac:dyDescent="0.3">
      <c r="A118" s="8">
        <v>117</v>
      </c>
      <c r="B118" s="8" t="s">
        <v>9</v>
      </c>
      <c r="C118" s="8" t="s">
        <v>814</v>
      </c>
      <c r="D118" s="8">
        <v>2026</v>
      </c>
      <c r="E118" s="8" t="s">
        <v>64</v>
      </c>
      <c r="F118" s="12"/>
      <c r="G118" s="11"/>
      <c r="H118" s="11" t="s">
        <v>5</v>
      </c>
      <c r="I118" s="11"/>
    </row>
    <row r="119" spans="1:9" x14ac:dyDescent="0.3">
      <c r="A119" s="8">
        <v>118</v>
      </c>
      <c r="B119" s="8" t="s">
        <v>9</v>
      </c>
      <c r="C119" s="8" t="s">
        <v>815</v>
      </c>
      <c r="D119" s="8">
        <v>2026</v>
      </c>
      <c r="E119" s="8" t="s">
        <v>64</v>
      </c>
      <c r="F119" s="12"/>
      <c r="G119" s="11"/>
      <c r="H119" s="11" t="s">
        <v>5</v>
      </c>
      <c r="I119" s="11"/>
    </row>
    <row r="120" spans="1:9" x14ac:dyDescent="0.3">
      <c r="A120" s="8">
        <v>119</v>
      </c>
      <c r="B120" s="8" t="s">
        <v>9</v>
      </c>
      <c r="C120" s="8" t="s">
        <v>816</v>
      </c>
      <c r="D120" s="8">
        <v>2026</v>
      </c>
      <c r="E120" s="8" t="s">
        <v>64</v>
      </c>
      <c r="F120" s="12"/>
      <c r="G120" s="11"/>
      <c r="H120" s="11" t="s">
        <v>5</v>
      </c>
      <c r="I120" s="11"/>
    </row>
    <row r="121" spans="1:9" x14ac:dyDescent="0.3">
      <c r="A121" s="8">
        <v>120</v>
      </c>
      <c r="B121" s="8" t="s">
        <v>9</v>
      </c>
      <c r="C121" s="8" t="s">
        <v>817</v>
      </c>
      <c r="D121" s="8">
        <v>2026</v>
      </c>
      <c r="E121" s="8" t="s">
        <v>700</v>
      </c>
      <c r="F121" s="12"/>
      <c r="G121" s="11"/>
      <c r="H121" s="11" t="s">
        <v>5</v>
      </c>
      <c r="I121" s="11"/>
    </row>
    <row r="122" spans="1:9" x14ac:dyDescent="0.3">
      <c r="A122" s="8">
        <v>121</v>
      </c>
      <c r="B122" s="8" t="s">
        <v>9</v>
      </c>
      <c r="C122" s="8" t="s">
        <v>818</v>
      </c>
      <c r="D122" s="8">
        <v>2026</v>
      </c>
      <c r="E122" s="8" t="s">
        <v>700</v>
      </c>
      <c r="F122" s="12"/>
      <c r="G122" s="11"/>
      <c r="H122" s="11" t="s">
        <v>5</v>
      </c>
      <c r="I122" s="11"/>
    </row>
    <row r="123" spans="1:9" x14ac:dyDescent="0.3">
      <c r="A123" s="8">
        <v>122</v>
      </c>
      <c r="B123" s="8" t="s">
        <v>9</v>
      </c>
      <c r="C123" s="8" t="s">
        <v>819</v>
      </c>
      <c r="D123" s="8">
        <v>2026</v>
      </c>
      <c r="E123" s="8" t="s">
        <v>64</v>
      </c>
      <c r="F123" s="12"/>
      <c r="G123" s="11"/>
      <c r="H123" s="11" t="s">
        <v>5</v>
      </c>
      <c r="I123" s="11"/>
    </row>
    <row r="124" spans="1:9" x14ac:dyDescent="0.3">
      <c r="A124" s="8">
        <v>123</v>
      </c>
      <c r="B124" s="8" t="s">
        <v>9</v>
      </c>
      <c r="C124" s="8" t="s">
        <v>820</v>
      </c>
      <c r="D124" s="8">
        <v>2026</v>
      </c>
      <c r="E124" s="8" t="s">
        <v>64</v>
      </c>
      <c r="F124" s="12"/>
      <c r="G124" s="11"/>
      <c r="H124" s="11" t="s">
        <v>5</v>
      </c>
      <c r="I124" s="11"/>
    </row>
    <row r="125" spans="1:9" x14ac:dyDescent="0.3">
      <c r="A125" s="8">
        <v>124</v>
      </c>
      <c r="B125" s="8" t="s">
        <v>9</v>
      </c>
      <c r="C125" s="8" t="s">
        <v>821</v>
      </c>
      <c r="D125" s="8">
        <v>2026</v>
      </c>
      <c r="E125" s="8" t="s">
        <v>700</v>
      </c>
      <c r="F125" s="12"/>
      <c r="G125" s="11"/>
      <c r="H125" s="11" t="s">
        <v>5</v>
      </c>
      <c r="I125" s="11"/>
    </row>
    <row r="126" spans="1:9" x14ac:dyDescent="0.3">
      <c r="A126" s="8">
        <v>125</v>
      </c>
      <c r="B126" s="8" t="s">
        <v>9</v>
      </c>
      <c r="C126" s="8" t="s">
        <v>822</v>
      </c>
      <c r="D126" s="8">
        <v>2026</v>
      </c>
      <c r="E126" s="8" t="s">
        <v>64</v>
      </c>
      <c r="F126" s="12"/>
      <c r="G126" s="11"/>
      <c r="H126" s="11" t="s">
        <v>5</v>
      </c>
      <c r="I126" s="11"/>
    </row>
    <row r="127" spans="1:9" x14ac:dyDescent="0.3">
      <c r="A127" s="8">
        <v>126</v>
      </c>
      <c r="B127" s="8" t="s">
        <v>9</v>
      </c>
      <c r="C127" s="8" t="s">
        <v>823</v>
      </c>
      <c r="D127" s="8">
        <v>2025</v>
      </c>
      <c r="E127" s="8" t="s">
        <v>700</v>
      </c>
      <c r="F127" s="12"/>
      <c r="G127" s="11"/>
      <c r="H127" s="11" t="s">
        <v>5</v>
      </c>
      <c r="I127" s="11"/>
    </row>
    <row r="128" spans="1:9" x14ac:dyDescent="0.3">
      <c r="A128" s="8">
        <v>127</v>
      </c>
      <c r="B128" s="8" t="s">
        <v>9</v>
      </c>
      <c r="C128" s="8" t="s">
        <v>824</v>
      </c>
      <c r="D128" s="8">
        <v>2026</v>
      </c>
      <c r="E128" s="8" t="s">
        <v>700</v>
      </c>
      <c r="F128" s="12"/>
      <c r="G128" s="11"/>
      <c r="H128" s="11" t="s">
        <v>5</v>
      </c>
      <c r="I128" s="11"/>
    </row>
    <row r="129" spans="1:9" x14ac:dyDescent="0.3">
      <c r="A129" s="8">
        <v>128</v>
      </c>
      <c r="B129" s="8" t="s">
        <v>9</v>
      </c>
      <c r="C129" s="8" t="s">
        <v>825</v>
      </c>
      <c r="D129" s="8">
        <v>2026</v>
      </c>
      <c r="E129" s="8" t="s">
        <v>64</v>
      </c>
      <c r="F129" s="12"/>
      <c r="G129" s="11"/>
      <c r="H129" s="11" t="s">
        <v>5</v>
      </c>
      <c r="I129" s="11"/>
    </row>
    <row r="130" spans="1:9" x14ac:dyDescent="0.3">
      <c r="A130" s="8">
        <v>129</v>
      </c>
      <c r="B130" s="8" t="s">
        <v>9</v>
      </c>
      <c r="C130" s="8" t="s">
        <v>826</v>
      </c>
      <c r="D130" s="8">
        <v>2026</v>
      </c>
      <c r="E130" s="8" t="s">
        <v>700</v>
      </c>
      <c r="F130" s="12"/>
      <c r="G130" s="11"/>
      <c r="H130" s="11" t="s">
        <v>5</v>
      </c>
      <c r="I130" s="11"/>
    </row>
    <row r="131" spans="1:9" x14ac:dyDescent="0.3">
      <c r="A131" s="8">
        <v>130</v>
      </c>
      <c r="B131" s="8" t="s">
        <v>10</v>
      </c>
      <c r="C131" s="8" t="s">
        <v>827</v>
      </c>
      <c r="D131" s="8">
        <v>2026</v>
      </c>
      <c r="E131" s="8" t="s">
        <v>700</v>
      </c>
      <c r="F131" s="12"/>
      <c r="G131" s="11"/>
      <c r="H131" s="11" t="s">
        <v>5</v>
      </c>
      <c r="I131" s="11"/>
    </row>
    <row r="132" spans="1:9" x14ac:dyDescent="0.3">
      <c r="A132" s="8">
        <v>131</v>
      </c>
      <c r="B132" s="8" t="s">
        <v>10</v>
      </c>
      <c r="C132" s="8" t="s">
        <v>828</v>
      </c>
      <c r="D132" s="8">
        <v>2026</v>
      </c>
      <c r="E132" s="8" t="s">
        <v>700</v>
      </c>
      <c r="F132" s="12"/>
      <c r="G132" s="11"/>
      <c r="H132" s="11" t="s">
        <v>5</v>
      </c>
      <c r="I132" s="11"/>
    </row>
    <row r="133" spans="1:9" x14ac:dyDescent="0.3">
      <c r="A133" s="8">
        <v>132</v>
      </c>
      <c r="B133" s="8" t="s">
        <v>10</v>
      </c>
      <c r="C133" s="8" t="s">
        <v>829</v>
      </c>
      <c r="D133" s="8">
        <v>2026</v>
      </c>
      <c r="E133" s="8" t="s">
        <v>700</v>
      </c>
      <c r="F133" s="12"/>
      <c r="G133" s="11"/>
      <c r="H133" s="11" t="s">
        <v>5</v>
      </c>
      <c r="I133" s="11"/>
    </row>
    <row r="134" spans="1:9" x14ac:dyDescent="0.3">
      <c r="A134" s="8">
        <v>133</v>
      </c>
      <c r="B134" s="8" t="s">
        <v>10</v>
      </c>
      <c r="C134" s="8" t="s">
        <v>830</v>
      </c>
      <c r="D134" s="8">
        <v>2026</v>
      </c>
      <c r="E134" s="8" t="s">
        <v>700</v>
      </c>
      <c r="F134" s="12"/>
      <c r="G134" s="11"/>
      <c r="H134" s="11" t="s">
        <v>5</v>
      </c>
      <c r="I134" s="11"/>
    </row>
    <row r="135" spans="1:9" x14ac:dyDescent="0.3">
      <c r="A135" s="8">
        <v>134</v>
      </c>
      <c r="B135" s="8" t="s">
        <v>10</v>
      </c>
      <c r="C135" s="8" t="s">
        <v>831</v>
      </c>
      <c r="D135" s="8">
        <v>2026</v>
      </c>
      <c r="E135" s="8" t="s">
        <v>64</v>
      </c>
      <c r="F135" s="12"/>
      <c r="G135" s="11"/>
      <c r="H135" s="11" t="s">
        <v>5</v>
      </c>
      <c r="I135" s="11"/>
    </row>
    <row r="136" spans="1:9" x14ac:dyDescent="0.3">
      <c r="A136" s="8">
        <v>135</v>
      </c>
      <c r="B136" s="8" t="s">
        <v>10</v>
      </c>
      <c r="C136" s="8" t="s">
        <v>832</v>
      </c>
      <c r="D136" s="8">
        <v>2026</v>
      </c>
      <c r="E136" s="8" t="s">
        <v>64</v>
      </c>
      <c r="F136" s="12"/>
      <c r="G136" s="11"/>
      <c r="H136" s="11" t="s">
        <v>5</v>
      </c>
      <c r="I136" s="11"/>
    </row>
    <row r="137" spans="1:9" x14ac:dyDescent="0.3">
      <c r="A137" s="8">
        <v>136</v>
      </c>
      <c r="B137" s="8" t="s">
        <v>10</v>
      </c>
      <c r="C137" s="8" t="s">
        <v>833</v>
      </c>
      <c r="D137" s="8">
        <v>2026</v>
      </c>
      <c r="E137" s="8" t="s">
        <v>64</v>
      </c>
      <c r="F137" s="12"/>
      <c r="G137" s="11"/>
      <c r="H137" s="11" t="s">
        <v>5</v>
      </c>
      <c r="I137" s="11"/>
    </row>
    <row r="138" spans="1:9" x14ac:dyDescent="0.3">
      <c r="A138" s="8">
        <v>137</v>
      </c>
      <c r="B138" s="8" t="s">
        <v>10</v>
      </c>
      <c r="C138" s="8" t="s">
        <v>834</v>
      </c>
      <c r="D138" s="8">
        <v>2026</v>
      </c>
      <c r="E138" s="8" t="s">
        <v>700</v>
      </c>
      <c r="F138" s="12"/>
      <c r="G138" s="11"/>
      <c r="H138" s="11" t="s">
        <v>5</v>
      </c>
      <c r="I138" s="11"/>
    </row>
    <row r="139" spans="1:9" x14ac:dyDescent="0.3">
      <c r="A139" s="8">
        <v>138</v>
      </c>
      <c r="B139" s="8" t="s">
        <v>10</v>
      </c>
      <c r="C139" s="8" t="s">
        <v>835</v>
      </c>
      <c r="D139" s="8">
        <v>2026</v>
      </c>
      <c r="E139" s="8" t="s">
        <v>64</v>
      </c>
      <c r="F139" s="12"/>
      <c r="G139" s="11"/>
      <c r="H139" s="11" t="s">
        <v>5</v>
      </c>
      <c r="I139" s="11"/>
    </row>
    <row r="140" spans="1:9" x14ac:dyDescent="0.3">
      <c r="A140" s="8">
        <v>139</v>
      </c>
      <c r="B140" s="8" t="s">
        <v>10</v>
      </c>
      <c r="C140" s="8" t="s">
        <v>836</v>
      </c>
      <c r="D140" s="8">
        <v>2027</v>
      </c>
      <c r="E140" s="8" t="s">
        <v>64</v>
      </c>
      <c r="F140" s="12"/>
      <c r="G140" s="11"/>
      <c r="H140" s="11" t="s">
        <v>5</v>
      </c>
      <c r="I140" s="11"/>
    </row>
    <row r="141" spans="1:9" x14ac:dyDescent="0.3">
      <c r="A141" s="8">
        <v>140</v>
      </c>
      <c r="B141" s="8" t="s">
        <v>10</v>
      </c>
      <c r="C141" s="8" t="s">
        <v>837</v>
      </c>
      <c r="D141" s="8">
        <v>2026</v>
      </c>
      <c r="E141" s="8" t="s">
        <v>700</v>
      </c>
      <c r="F141" s="12"/>
      <c r="G141" s="11"/>
      <c r="H141" s="11" t="s">
        <v>5</v>
      </c>
      <c r="I141" s="11"/>
    </row>
    <row r="142" spans="1:9" x14ac:dyDescent="0.3">
      <c r="A142" s="8">
        <v>141</v>
      </c>
      <c r="B142" s="8" t="s">
        <v>10</v>
      </c>
      <c r="C142" s="8" t="s">
        <v>838</v>
      </c>
      <c r="D142" s="8">
        <v>2022</v>
      </c>
      <c r="E142" s="8" t="s">
        <v>64</v>
      </c>
      <c r="F142" s="12"/>
      <c r="G142" s="11"/>
      <c r="H142" s="11" t="s">
        <v>5</v>
      </c>
      <c r="I142" s="11"/>
    </row>
    <row r="143" spans="1:9" x14ac:dyDescent="0.3">
      <c r="A143" s="8">
        <v>142</v>
      </c>
      <c r="B143" s="8" t="s">
        <v>10</v>
      </c>
      <c r="C143" s="8" t="s">
        <v>839</v>
      </c>
      <c r="D143" s="8">
        <v>2026</v>
      </c>
      <c r="E143" s="8" t="s">
        <v>64</v>
      </c>
      <c r="F143" s="12"/>
      <c r="G143" s="11"/>
      <c r="H143" s="11" t="s">
        <v>5</v>
      </c>
      <c r="I143" s="11"/>
    </row>
    <row r="144" spans="1:9" x14ac:dyDescent="0.3">
      <c r="A144" s="8">
        <v>143</v>
      </c>
      <c r="B144" s="8" t="s">
        <v>10</v>
      </c>
      <c r="C144" s="8" t="s">
        <v>840</v>
      </c>
      <c r="D144" s="8">
        <v>2024</v>
      </c>
      <c r="E144" s="8" t="s">
        <v>64</v>
      </c>
      <c r="F144" s="12"/>
      <c r="G144" s="11"/>
      <c r="H144" s="11" t="s">
        <v>5</v>
      </c>
      <c r="I144" s="11"/>
    </row>
    <row r="145" spans="1:9" x14ac:dyDescent="0.3">
      <c r="A145" s="8">
        <v>144</v>
      </c>
      <c r="B145" s="8" t="s">
        <v>10</v>
      </c>
      <c r="C145" s="8" t="s">
        <v>841</v>
      </c>
      <c r="D145" s="8">
        <v>2026</v>
      </c>
      <c r="E145" s="8" t="s">
        <v>64</v>
      </c>
      <c r="F145" s="12"/>
      <c r="G145" s="11"/>
      <c r="H145" s="11" t="s">
        <v>5</v>
      </c>
      <c r="I145" s="11"/>
    </row>
    <row r="146" spans="1:9" x14ac:dyDescent="0.3">
      <c r="A146" s="8">
        <v>145</v>
      </c>
      <c r="B146" s="8" t="s">
        <v>10</v>
      </c>
      <c r="C146" s="8" t="s">
        <v>842</v>
      </c>
      <c r="D146" s="8">
        <v>2026</v>
      </c>
      <c r="E146" s="8" t="s">
        <v>64</v>
      </c>
      <c r="F146" s="12"/>
      <c r="G146" s="11"/>
      <c r="H146" s="11" t="s">
        <v>5</v>
      </c>
      <c r="I146" s="11"/>
    </row>
    <row r="147" spans="1:9" x14ac:dyDescent="0.3">
      <c r="A147" s="8">
        <v>146</v>
      </c>
      <c r="B147" s="8" t="s">
        <v>10</v>
      </c>
      <c r="C147" s="8" t="s">
        <v>843</v>
      </c>
      <c r="D147" s="8">
        <v>2026</v>
      </c>
      <c r="E147" s="8" t="s">
        <v>64</v>
      </c>
      <c r="F147" s="12"/>
      <c r="G147" s="11"/>
      <c r="H147" s="11" t="s">
        <v>5</v>
      </c>
      <c r="I147" s="11"/>
    </row>
    <row r="148" spans="1:9" x14ac:dyDescent="0.3">
      <c r="A148" s="8">
        <v>147</v>
      </c>
      <c r="B148" s="8" t="s">
        <v>10</v>
      </c>
      <c r="C148" s="8" t="s">
        <v>844</v>
      </c>
      <c r="D148" s="8">
        <v>2026</v>
      </c>
      <c r="E148" s="8" t="s">
        <v>64</v>
      </c>
      <c r="F148" s="12"/>
      <c r="G148" s="11"/>
      <c r="H148" s="11" t="s">
        <v>5</v>
      </c>
      <c r="I148" s="11"/>
    </row>
    <row r="149" spans="1:9" x14ac:dyDescent="0.3">
      <c r="A149" s="8">
        <v>148</v>
      </c>
      <c r="B149" s="8" t="s">
        <v>10</v>
      </c>
      <c r="C149" s="8" t="s">
        <v>845</v>
      </c>
      <c r="D149" s="8">
        <v>2026</v>
      </c>
      <c r="E149" s="8" t="s">
        <v>64</v>
      </c>
      <c r="F149" s="12"/>
      <c r="G149" s="11"/>
      <c r="H149" s="11" t="s">
        <v>5</v>
      </c>
      <c r="I149" s="11"/>
    </row>
    <row r="150" spans="1:9" x14ac:dyDescent="0.3">
      <c r="A150" s="8">
        <v>149</v>
      </c>
      <c r="B150" s="8" t="s">
        <v>10</v>
      </c>
      <c r="C150" s="8" t="s">
        <v>846</v>
      </c>
      <c r="D150" s="8">
        <v>2026</v>
      </c>
      <c r="E150" s="8" t="s">
        <v>64</v>
      </c>
      <c r="F150" s="12"/>
      <c r="G150" s="11"/>
      <c r="H150" s="11" t="s">
        <v>5</v>
      </c>
      <c r="I150" s="11"/>
    </row>
    <row r="151" spans="1:9" x14ac:dyDescent="0.3">
      <c r="A151" s="8">
        <v>150</v>
      </c>
      <c r="B151" s="8" t="s">
        <v>10</v>
      </c>
      <c r="C151" s="8" t="s">
        <v>847</v>
      </c>
      <c r="D151" s="8">
        <v>2026</v>
      </c>
      <c r="E151" s="8" t="s">
        <v>64</v>
      </c>
      <c r="F151" s="12"/>
      <c r="G151" s="11"/>
      <c r="H151" s="11" t="s">
        <v>5</v>
      </c>
      <c r="I151" s="11"/>
    </row>
    <row r="152" spans="1:9" x14ac:dyDescent="0.3">
      <c r="A152" s="8">
        <v>151</v>
      </c>
      <c r="B152" s="8" t="s">
        <v>10</v>
      </c>
      <c r="C152" s="8" t="s">
        <v>848</v>
      </c>
      <c r="D152" s="8">
        <v>2026</v>
      </c>
      <c r="E152" s="8" t="s">
        <v>64</v>
      </c>
      <c r="F152" s="12"/>
      <c r="G152" s="11"/>
      <c r="H152" s="11" t="s">
        <v>5</v>
      </c>
      <c r="I152" s="11"/>
    </row>
    <row r="153" spans="1:9" x14ac:dyDescent="0.3">
      <c r="A153" s="8">
        <v>152</v>
      </c>
      <c r="B153" s="8" t="s">
        <v>11</v>
      </c>
      <c r="C153" s="8" t="s">
        <v>849</v>
      </c>
      <c r="D153" s="8">
        <v>2026</v>
      </c>
      <c r="E153" s="8" t="s">
        <v>64</v>
      </c>
      <c r="F153" s="12"/>
      <c r="G153" s="11"/>
      <c r="H153" s="11" t="s">
        <v>5</v>
      </c>
      <c r="I153" s="11"/>
    </row>
    <row r="154" spans="1:9" x14ac:dyDescent="0.3">
      <c r="A154" s="8">
        <v>153</v>
      </c>
      <c r="B154" s="8" t="s">
        <v>11</v>
      </c>
      <c r="C154" s="8" t="s">
        <v>850</v>
      </c>
      <c r="D154" s="8">
        <v>2027</v>
      </c>
      <c r="E154" s="8" t="s">
        <v>64</v>
      </c>
      <c r="F154" s="12"/>
      <c r="G154" s="11"/>
      <c r="H154" s="11" t="s">
        <v>5</v>
      </c>
      <c r="I154" s="11"/>
    </row>
    <row r="155" spans="1:9" x14ac:dyDescent="0.3">
      <c r="A155" s="8">
        <v>154</v>
      </c>
      <c r="B155" s="8" t="s">
        <v>11</v>
      </c>
      <c r="C155" s="8" t="s">
        <v>851</v>
      </c>
      <c r="D155" s="8">
        <v>2026</v>
      </c>
      <c r="E155" s="8" t="s">
        <v>64</v>
      </c>
      <c r="F155" s="12"/>
      <c r="G155" s="11"/>
      <c r="H155" s="11" t="s">
        <v>5</v>
      </c>
      <c r="I155" s="11"/>
    </row>
    <row r="156" spans="1:9" x14ac:dyDescent="0.3">
      <c r="A156" s="8">
        <v>155</v>
      </c>
      <c r="B156" s="8" t="s">
        <v>11</v>
      </c>
      <c r="C156" s="8" t="s">
        <v>852</v>
      </c>
      <c r="D156" s="8">
        <v>2027</v>
      </c>
      <c r="E156" s="8" t="s">
        <v>64</v>
      </c>
      <c r="F156" s="12"/>
      <c r="G156" s="11"/>
      <c r="H156" s="11" t="s">
        <v>5</v>
      </c>
      <c r="I156" s="11"/>
    </row>
    <row r="157" spans="1:9" x14ac:dyDescent="0.3">
      <c r="A157" s="8">
        <v>156</v>
      </c>
      <c r="B157" s="8" t="s">
        <v>11</v>
      </c>
      <c r="C157" s="8" t="s">
        <v>853</v>
      </c>
      <c r="D157" s="8">
        <v>2027</v>
      </c>
      <c r="E157" s="8" t="s">
        <v>64</v>
      </c>
      <c r="F157" s="12"/>
      <c r="G157" s="11"/>
      <c r="H157" s="11" t="s">
        <v>5</v>
      </c>
      <c r="I157" s="11"/>
    </row>
    <row r="158" spans="1:9" x14ac:dyDescent="0.3">
      <c r="A158" s="8">
        <v>157</v>
      </c>
      <c r="B158" s="8" t="s">
        <v>11</v>
      </c>
      <c r="C158" s="8" t="s">
        <v>854</v>
      </c>
      <c r="D158" s="8">
        <v>2027</v>
      </c>
      <c r="E158" s="8" t="s">
        <v>64</v>
      </c>
      <c r="F158" s="12"/>
      <c r="G158" s="11"/>
      <c r="H158" s="11" t="s">
        <v>5</v>
      </c>
      <c r="I158" s="11"/>
    </row>
    <row r="159" spans="1:9" x14ac:dyDescent="0.3">
      <c r="A159" s="8">
        <v>158</v>
      </c>
      <c r="B159" s="8" t="s">
        <v>11</v>
      </c>
      <c r="C159" s="8" t="s">
        <v>855</v>
      </c>
      <c r="D159" s="8">
        <v>2026</v>
      </c>
      <c r="E159" s="8" t="s">
        <v>64</v>
      </c>
      <c r="F159" s="12"/>
      <c r="G159" s="11"/>
      <c r="H159" s="11" t="s">
        <v>5</v>
      </c>
      <c r="I159" s="11"/>
    </row>
    <row r="160" spans="1:9" x14ac:dyDescent="0.3">
      <c r="A160" s="8">
        <v>159</v>
      </c>
      <c r="B160" s="8" t="s">
        <v>11</v>
      </c>
      <c r="C160" s="8" t="s">
        <v>856</v>
      </c>
      <c r="D160" s="8">
        <v>2026</v>
      </c>
      <c r="E160" s="8" t="s">
        <v>64</v>
      </c>
      <c r="F160" s="12"/>
      <c r="G160" s="11"/>
      <c r="H160" s="11" t="s">
        <v>5</v>
      </c>
      <c r="I160" s="11"/>
    </row>
    <row r="161" spans="1:9" x14ac:dyDescent="0.3">
      <c r="A161" s="8">
        <v>160</v>
      </c>
      <c r="B161" s="8" t="s">
        <v>11</v>
      </c>
      <c r="C161" s="8" t="s">
        <v>857</v>
      </c>
      <c r="D161" s="8">
        <v>2026</v>
      </c>
      <c r="E161" s="8" t="s">
        <v>64</v>
      </c>
      <c r="F161" s="12"/>
      <c r="G161" s="11"/>
      <c r="H161" s="11" t="s">
        <v>5</v>
      </c>
      <c r="I161" s="11"/>
    </row>
    <row r="162" spans="1:9" x14ac:dyDescent="0.3">
      <c r="A162" s="8">
        <v>161</v>
      </c>
      <c r="B162" s="8" t="s">
        <v>11</v>
      </c>
      <c r="C162" s="8" t="s">
        <v>858</v>
      </c>
      <c r="D162" s="8">
        <v>2027</v>
      </c>
      <c r="E162" s="8" t="s">
        <v>64</v>
      </c>
      <c r="F162" s="12"/>
      <c r="G162" s="11"/>
      <c r="H162" s="11" t="s">
        <v>5</v>
      </c>
      <c r="I162" s="11"/>
    </row>
    <row r="163" spans="1:9" x14ac:dyDescent="0.3">
      <c r="A163" s="8">
        <v>162</v>
      </c>
      <c r="B163" s="8" t="s">
        <v>11</v>
      </c>
      <c r="C163" s="8" t="s">
        <v>859</v>
      </c>
      <c r="D163" s="8">
        <v>2026</v>
      </c>
      <c r="E163" s="8" t="s">
        <v>64</v>
      </c>
      <c r="F163" s="12"/>
      <c r="G163" s="11"/>
      <c r="H163" s="11" t="s">
        <v>5</v>
      </c>
      <c r="I163" s="11"/>
    </row>
    <row r="164" spans="1:9" x14ac:dyDescent="0.3">
      <c r="A164" s="8">
        <v>163</v>
      </c>
      <c r="B164" s="8" t="s">
        <v>11</v>
      </c>
      <c r="C164" s="8" t="s">
        <v>860</v>
      </c>
      <c r="D164" s="8">
        <v>2026</v>
      </c>
      <c r="E164" s="8" t="s">
        <v>64</v>
      </c>
      <c r="F164" s="12"/>
      <c r="G164" s="11"/>
      <c r="H164" s="11" t="s">
        <v>5</v>
      </c>
      <c r="I164" s="11"/>
    </row>
    <row r="165" spans="1:9" x14ac:dyDescent="0.3">
      <c r="A165" s="8">
        <v>164</v>
      </c>
      <c r="B165" s="8" t="s">
        <v>11</v>
      </c>
      <c r="C165" s="8" t="s">
        <v>861</v>
      </c>
      <c r="D165" s="8">
        <v>2027</v>
      </c>
      <c r="E165" s="8" t="s">
        <v>700</v>
      </c>
      <c r="F165" s="12"/>
      <c r="G165" s="11"/>
      <c r="H165" s="11" t="s">
        <v>5</v>
      </c>
      <c r="I165" s="11"/>
    </row>
    <row r="166" spans="1:9" x14ac:dyDescent="0.3">
      <c r="A166" s="8">
        <v>165</v>
      </c>
      <c r="B166" s="8" t="s">
        <v>11</v>
      </c>
      <c r="C166" s="8" t="s">
        <v>862</v>
      </c>
      <c r="D166" s="8">
        <v>2026</v>
      </c>
      <c r="E166" s="8" t="s">
        <v>64</v>
      </c>
      <c r="F166" s="12"/>
      <c r="G166" s="11"/>
      <c r="H166" s="11" t="s">
        <v>5</v>
      </c>
      <c r="I166" s="11"/>
    </row>
    <row r="167" spans="1:9" x14ac:dyDescent="0.3">
      <c r="A167" s="8">
        <v>166</v>
      </c>
      <c r="B167" s="8" t="s">
        <v>11</v>
      </c>
      <c r="C167" s="8" t="s">
        <v>863</v>
      </c>
      <c r="D167" s="8">
        <v>2027</v>
      </c>
      <c r="E167" s="8" t="s">
        <v>64</v>
      </c>
      <c r="F167" s="12"/>
      <c r="G167" s="11"/>
      <c r="H167" s="11" t="s">
        <v>5</v>
      </c>
      <c r="I167" s="11"/>
    </row>
    <row r="168" spans="1:9" x14ac:dyDescent="0.3">
      <c r="A168" s="8">
        <v>167</v>
      </c>
      <c r="B168" s="8" t="s">
        <v>11</v>
      </c>
      <c r="C168" s="8" t="s">
        <v>864</v>
      </c>
      <c r="D168" s="8">
        <v>2026</v>
      </c>
      <c r="E168" s="8" t="s">
        <v>64</v>
      </c>
      <c r="F168" s="12"/>
      <c r="G168" s="11"/>
      <c r="H168" s="11" t="s">
        <v>5</v>
      </c>
      <c r="I168" s="11"/>
    </row>
    <row r="169" spans="1:9" x14ac:dyDescent="0.3">
      <c r="A169" s="8">
        <v>168</v>
      </c>
      <c r="B169" s="8" t="s">
        <v>11</v>
      </c>
      <c r="C169" s="8" t="s">
        <v>865</v>
      </c>
      <c r="D169" s="8">
        <v>2027</v>
      </c>
      <c r="E169" s="8" t="s">
        <v>64</v>
      </c>
      <c r="F169" s="12"/>
      <c r="G169" s="11"/>
      <c r="H169" s="11" t="s">
        <v>5</v>
      </c>
      <c r="I169" s="11"/>
    </row>
    <row r="170" spans="1:9" x14ac:dyDescent="0.3">
      <c r="A170" s="8">
        <v>169</v>
      </c>
      <c r="B170" s="8" t="s">
        <v>12</v>
      </c>
      <c r="C170" s="8" t="s">
        <v>866</v>
      </c>
      <c r="D170" s="8">
        <v>2026</v>
      </c>
      <c r="E170" s="8" t="s">
        <v>64</v>
      </c>
      <c r="F170" s="12"/>
      <c r="G170" s="11"/>
      <c r="H170" s="11" t="s">
        <v>5</v>
      </c>
      <c r="I170" s="11"/>
    </row>
    <row r="171" spans="1:9" x14ac:dyDescent="0.3">
      <c r="A171" s="8">
        <v>170</v>
      </c>
      <c r="B171" s="8" t="s">
        <v>12</v>
      </c>
      <c r="C171" s="8" t="s">
        <v>867</v>
      </c>
      <c r="D171" s="8">
        <v>2023</v>
      </c>
      <c r="E171" s="8" t="s">
        <v>64</v>
      </c>
      <c r="F171" s="12"/>
      <c r="G171" s="11"/>
      <c r="H171" s="11" t="s">
        <v>5</v>
      </c>
      <c r="I171" s="11"/>
    </row>
    <row r="172" spans="1:9" x14ac:dyDescent="0.3">
      <c r="A172" s="8">
        <v>171</v>
      </c>
      <c r="B172" s="8" t="s">
        <v>12</v>
      </c>
      <c r="C172" s="8" t="s">
        <v>868</v>
      </c>
      <c r="D172" s="8">
        <v>2026</v>
      </c>
      <c r="E172" s="8" t="s">
        <v>64</v>
      </c>
      <c r="F172" s="12"/>
      <c r="G172" s="11"/>
      <c r="H172" s="11" t="s">
        <v>5</v>
      </c>
      <c r="I172" s="11"/>
    </row>
    <row r="173" spans="1:9" x14ac:dyDescent="0.3">
      <c r="A173" s="8">
        <v>172</v>
      </c>
      <c r="B173" s="8" t="s">
        <v>12</v>
      </c>
      <c r="C173" s="8" t="s">
        <v>869</v>
      </c>
      <c r="D173" s="8">
        <v>2026</v>
      </c>
      <c r="E173" s="8" t="s">
        <v>700</v>
      </c>
      <c r="F173" s="12"/>
      <c r="G173" s="11"/>
      <c r="H173" s="11" t="s">
        <v>5</v>
      </c>
      <c r="I173" s="11"/>
    </row>
    <row r="174" spans="1:9" x14ac:dyDescent="0.3">
      <c r="A174" s="8">
        <v>173</v>
      </c>
      <c r="B174" s="8" t="s">
        <v>12</v>
      </c>
      <c r="C174" s="8" t="s">
        <v>870</v>
      </c>
      <c r="D174" s="8"/>
      <c r="E174" s="8" t="s">
        <v>64</v>
      </c>
      <c r="F174" s="12"/>
      <c r="G174" s="11"/>
      <c r="H174" s="11" t="s">
        <v>5</v>
      </c>
      <c r="I174" s="11"/>
    </row>
    <row r="175" spans="1:9" x14ac:dyDescent="0.3">
      <c r="A175" s="8">
        <v>174</v>
      </c>
      <c r="B175" s="8" t="s">
        <v>12</v>
      </c>
      <c r="C175" s="8" t="s">
        <v>871</v>
      </c>
      <c r="D175" s="8"/>
      <c r="E175" s="8" t="s">
        <v>64</v>
      </c>
      <c r="F175" s="12"/>
      <c r="G175" s="11"/>
      <c r="H175" s="11" t="s">
        <v>5</v>
      </c>
      <c r="I175" s="11"/>
    </row>
    <row r="176" spans="1:9" x14ac:dyDescent="0.3">
      <c r="A176" s="8">
        <v>175</v>
      </c>
      <c r="B176" s="8" t="s">
        <v>12</v>
      </c>
      <c r="C176" s="8" t="s">
        <v>872</v>
      </c>
      <c r="D176" s="8"/>
      <c r="E176" s="8" t="s">
        <v>64</v>
      </c>
      <c r="F176" s="12"/>
      <c r="G176" s="11"/>
      <c r="H176" s="11" t="s">
        <v>5</v>
      </c>
      <c r="I176" s="11"/>
    </row>
    <row r="177" spans="1:9" x14ac:dyDescent="0.3">
      <c r="A177" s="8">
        <v>176</v>
      </c>
      <c r="B177" s="8" t="s">
        <v>12</v>
      </c>
      <c r="C177" s="8" t="s">
        <v>873</v>
      </c>
      <c r="D177" s="8">
        <v>2024</v>
      </c>
      <c r="E177" s="8" t="s">
        <v>64</v>
      </c>
      <c r="F177" s="12"/>
      <c r="G177" s="11"/>
      <c r="H177" s="11" t="s">
        <v>5</v>
      </c>
      <c r="I177" s="11"/>
    </row>
    <row r="178" spans="1:9" x14ac:dyDescent="0.3">
      <c r="A178" s="8">
        <v>177</v>
      </c>
      <c r="B178" s="8" t="s">
        <v>12</v>
      </c>
      <c r="C178" s="8" t="s">
        <v>874</v>
      </c>
      <c r="D178" s="8">
        <v>2026</v>
      </c>
      <c r="E178" s="8" t="s">
        <v>64</v>
      </c>
      <c r="F178" s="12"/>
      <c r="G178" s="11"/>
      <c r="H178" s="11" t="s">
        <v>5</v>
      </c>
      <c r="I178" s="11"/>
    </row>
    <row r="179" spans="1:9" x14ac:dyDescent="0.3">
      <c r="A179" s="8">
        <v>178</v>
      </c>
      <c r="B179" s="8" t="s">
        <v>12</v>
      </c>
      <c r="C179" s="8" t="s">
        <v>875</v>
      </c>
      <c r="D179" s="8">
        <v>2025</v>
      </c>
      <c r="E179" s="8" t="s">
        <v>700</v>
      </c>
      <c r="F179" s="12"/>
      <c r="G179" s="11"/>
      <c r="H179" s="11" t="s">
        <v>5</v>
      </c>
      <c r="I179" s="11"/>
    </row>
    <row r="180" spans="1:9" x14ac:dyDescent="0.3">
      <c r="A180" s="8">
        <v>179</v>
      </c>
      <c r="B180" s="8" t="s">
        <v>12</v>
      </c>
      <c r="C180" s="8" t="s">
        <v>876</v>
      </c>
      <c r="D180" s="8">
        <v>2025</v>
      </c>
      <c r="E180" s="8" t="s">
        <v>700</v>
      </c>
      <c r="F180" s="12"/>
      <c r="G180" s="11"/>
      <c r="H180" s="11" t="s">
        <v>5</v>
      </c>
      <c r="I180" s="11"/>
    </row>
    <row r="181" spans="1:9" x14ac:dyDescent="0.3">
      <c r="A181" s="8">
        <v>180</v>
      </c>
      <c r="B181" s="8" t="s">
        <v>13</v>
      </c>
      <c r="C181" s="8" t="s">
        <v>877</v>
      </c>
      <c r="D181" s="8">
        <v>2026</v>
      </c>
      <c r="E181" s="8" t="s">
        <v>64</v>
      </c>
      <c r="F181" s="12"/>
      <c r="G181" s="11"/>
      <c r="H181" s="11" t="s">
        <v>5</v>
      </c>
      <c r="I181" s="11"/>
    </row>
    <row r="182" spans="1:9" x14ac:dyDescent="0.3">
      <c r="A182" s="8">
        <v>181</v>
      </c>
      <c r="B182" s="8" t="s">
        <v>13</v>
      </c>
      <c r="C182" s="8" t="s">
        <v>878</v>
      </c>
      <c r="D182" s="8">
        <v>2026</v>
      </c>
      <c r="E182" s="8" t="s">
        <v>64</v>
      </c>
      <c r="F182" s="12"/>
      <c r="G182" s="11"/>
      <c r="H182" s="11" t="s">
        <v>5</v>
      </c>
      <c r="I182" s="11"/>
    </row>
    <row r="183" spans="1:9" x14ac:dyDescent="0.3">
      <c r="A183" s="8">
        <v>182</v>
      </c>
      <c r="B183" s="8" t="s">
        <v>13</v>
      </c>
      <c r="C183" s="8" t="s">
        <v>879</v>
      </c>
      <c r="D183" s="8">
        <v>2026</v>
      </c>
      <c r="E183" s="8" t="s">
        <v>64</v>
      </c>
      <c r="F183" s="12"/>
      <c r="G183" s="11"/>
      <c r="H183" s="11" t="s">
        <v>5</v>
      </c>
      <c r="I183" s="11"/>
    </row>
    <row r="184" spans="1:9" x14ac:dyDescent="0.3">
      <c r="A184" s="8">
        <v>183</v>
      </c>
      <c r="B184" s="8" t="s">
        <v>13</v>
      </c>
      <c r="C184" s="8" t="s">
        <v>880</v>
      </c>
      <c r="D184" s="8">
        <v>2026</v>
      </c>
      <c r="E184" s="8" t="s">
        <v>64</v>
      </c>
      <c r="F184" s="12"/>
      <c r="G184" s="11"/>
      <c r="H184" s="11" t="s">
        <v>5</v>
      </c>
      <c r="I184" s="11"/>
    </row>
    <row r="185" spans="1:9" x14ac:dyDescent="0.3">
      <c r="A185" s="8">
        <v>184</v>
      </c>
      <c r="B185" s="8" t="s">
        <v>13</v>
      </c>
      <c r="C185" s="8" t="s">
        <v>881</v>
      </c>
      <c r="D185" s="8">
        <v>2026</v>
      </c>
      <c r="E185" s="8" t="s">
        <v>64</v>
      </c>
      <c r="F185" s="12"/>
      <c r="G185" s="11"/>
      <c r="H185" s="11" t="s">
        <v>5</v>
      </c>
      <c r="I185" s="11"/>
    </row>
    <row r="186" spans="1:9" x14ac:dyDescent="0.3">
      <c r="A186" s="8">
        <v>185</v>
      </c>
      <c r="B186" s="8" t="s">
        <v>13</v>
      </c>
      <c r="C186" s="8" t="s">
        <v>882</v>
      </c>
      <c r="D186" s="8">
        <v>2026</v>
      </c>
      <c r="E186" s="8" t="s">
        <v>64</v>
      </c>
      <c r="F186" s="12"/>
      <c r="G186" s="11"/>
      <c r="H186" s="11" t="s">
        <v>5</v>
      </c>
      <c r="I186" s="11"/>
    </row>
    <row r="187" spans="1:9" x14ac:dyDescent="0.3">
      <c r="A187" s="8">
        <v>186</v>
      </c>
      <c r="B187" s="8" t="s">
        <v>13</v>
      </c>
      <c r="C187" s="8" t="s">
        <v>883</v>
      </c>
      <c r="D187" s="8">
        <v>2026</v>
      </c>
      <c r="E187" s="8" t="s">
        <v>64</v>
      </c>
      <c r="F187" s="12"/>
      <c r="G187" s="11"/>
      <c r="H187" s="11" t="s">
        <v>5</v>
      </c>
      <c r="I187" s="11"/>
    </row>
    <row r="188" spans="1:9" x14ac:dyDescent="0.3">
      <c r="A188" s="8">
        <v>187</v>
      </c>
      <c r="B188" s="8" t="s">
        <v>13</v>
      </c>
      <c r="C188" s="8" t="s">
        <v>884</v>
      </c>
      <c r="D188" s="8">
        <v>2026</v>
      </c>
      <c r="E188" s="8" t="s">
        <v>64</v>
      </c>
      <c r="F188" s="12"/>
      <c r="G188" s="11"/>
      <c r="H188" s="11" t="s">
        <v>5</v>
      </c>
      <c r="I188" s="11"/>
    </row>
    <row r="189" spans="1:9" x14ac:dyDescent="0.3">
      <c r="A189" s="8">
        <v>188</v>
      </c>
      <c r="B189" s="8" t="s">
        <v>13</v>
      </c>
      <c r="C189" s="8" t="s">
        <v>885</v>
      </c>
      <c r="D189" s="8">
        <v>2026</v>
      </c>
      <c r="E189" s="8" t="s">
        <v>64</v>
      </c>
      <c r="F189" s="12"/>
      <c r="G189" s="11"/>
      <c r="H189" s="11" t="s">
        <v>5</v>
      </c>
      <c r="I189" s="11"/>
    </row>
    <row r="190" spans="1:9" x14ac:dyDescent="0.3">
      <c r="A190" s="8">
        <v>189</v>
      </c>
      <c r="B190" s="8" t="s">
        <v>13</v>
      </c>
      <c r="C190" s="8" t="s">
        <v>886</v>
      </c>
      <c r="D190" s="8">
        <v>2026</v>
      </c>
      <c r="E190" s="8" t="s">
        <v>64</v>
      </c>
      <c r="F190" s="12"/>
      <c r="G190" s="11"/>
      <c r="H190" s="11" t="s">
        <v>5</v>
      </c>
      <c r="I190" s="11"/>
    </row>
    <row r="191" spans="1:9" x14ac:dyDescent="0.3">
      <c r="A191" s="8">
        <v>190</v>
      </c>
      <c r="B191" s="8" t="s">
        <v>13</v>
      </c>
      <c r="C191" s="8" t="s">
        <v>887</v>
      </c>
      <c r="D191" s="8">
        <v>2026</v>
      </c>
      <c r="E191" s="8" t="s">
        <v>64</v>
      </c>
      <c r="F191" s="12"/>
      <c r="G191" s="11"/>
      <c r="H191" s="11" t="s">
        <v>5</v>
      </c>
      <c r="I191" s="11"/>
    </row>
    <row r="192" spans="1:9" x14ac:dyDescent="0.3">
      <c r="A192" s="8">
        <v>191</v>
      </c>
      <c r="B192" s="8" t="s">
        <v>13</v>
      </c>
      <c r="C192" s="8" t="s">
        <v>888</v>
      </c>
      <c r="D192" s="8">
        <v>2026</v>
      </c>
      <c r="E192" s="8" t="s">
        <v>64</v>
      </c>
      <c r="F192" s="12"/>
      <c r="G192" s="11"/>
      <c r="H192" s="11" t="s">
        <v>5</v>
      </c>
      <c r="I192" s="11"/>
    </row>
    <row r="193" spans="1:9" x14ac:dyDescent="0.3">
      <c r="A193" s="8">
        <v>192</v>
      </c>
      <c r="B193" s="8" t="s">
        <v>0</v>
      </c>
      <c r="C193" s="8" t="s">
        <v>889</v>
      </c>
      <c r="D193" s="8">
        <v>2026</v>
      </c>
      <c r="E193" s="8" t="s">
        <v>64</v>
      </c>
      <c r="F193" s="12"/>
      <c r="G193" s="11"/>
      <c r="H193" s="11" t="s">
        <v>5</v>
      </c>
      <c r="I193" s="11"/>
    </row>
    <row r="194" spans="1:9" x14ac:dyDescent="0.3">
      <c r="A194" s="8">
        <v>193</v>
      </c>
      <c r="B194" s="8" t="s">
        <v>0</v>
      </c>
      <c r="C194" s="8" t="s">
        <v>890</v>
      </c>
      <c r="D194" s="8">
        <v>2026</v>
      </c>
      <c r="E194" s="8" t="s">
        <v>64</v>
      </c>
      <c r="F194" s="12"/>
      <c r="G194" s="11"/>
      <c r="H194" s="11" t="s">
        <v>5</v>
      </c>
      <c r="I194" s="11"/>
    </row>
    <row r="195" spans="1:9" x14ac:dyDescent="0.3">
      <c r="A195" s="8">
        <v>194</v>
      </c>
      <c r="B195" s="8" t="s">
        <v>0</v>
      </c>
      <c r="C195" s="8" t="s">
        <v>891</v>
      </c>
      <c r="D195" s="8">
        <v>2026</v>
      </c>
      <c r="E195" s="8" t="s">
        <v>64</v>
      </c>
      <c r="F195" s="12"/>
      <c r="G195" s="11"/>
      <c r="H195" s="11" t="s">
        <v>5</v>
      </c>
      <c r="I195" s="11"/>
    </row>
    <row r="196" spans="1:9" x14ac:dyDescent="0.3">
      <c r="A196" s="8">
        <v>195</v>
      </c>
      <c r="B196" s="8" t="s">
        <v>0</v>
      </c>
      <c r="C196" s="8" t="s">
        <v>892</v>
      </c>
      <c r="D196" s="8">
        <v>2026</v>
      </c>
      <c r="E196" s="8" t="s">
        <v>64</v>
      </c>
      <c r="F196" s="12"/>
      <c r="G196" s="11"/>
      <c r="H196" s="11" t="s">
        <v>5</v>
      </c>
      <c r="I196" s="11"/>
    </row>
    <row r="197" spans="1:9" x14ac:dyDescent="0.3">
      <c r="A197" s="8">
        <v>196</v>
      </c>
      <c r="B197" s="8" t="s">
        <v>0</v>
      </c>
      <c r="C197" s="8" t="s">
        <v>893</v>
      </c>
      <c r="D197" s="8">
        <v>2026</v>
      </c>
      <c r="E197" s="8" t="s">
        <v>64</v>
      </c>
      <c r="F197" s="12"/>
      <c r="G197" s="11"/>
      <c r="H197" s="11" t="s">
        <v>5</v>
      </c>
      <c r="I197" s="11"/>
    </row>
    <row r="198" spans="1:9" x14ac:dyDescent="0.3">
      <c r="A198" s="8">
        <v>197</v>
      </c>
      <c r="B198" s="8" t="s">
        <v>0</v>
      </c>
      <c r="C198" s="8" t="s">
        <v>894</v>
      </c>
      <c r="D198" s="8"/>
      <c r="E198" s="8" t="s">
        <v>64</v>
      </c>
      <c r="F198" s="12"/>
      <c r="G198" s="11"/>
      <c r="H198" s="11" t="s">
        <v>5</v>
      </c>
      <c r="I198" s="11"/>
    </row>
  </sheetData>
  <autoFilter ref="A1:I198" xr:uid="{00000000-0009-0000-0000-00000A000000}"/>
  <conditionalFormatting sqref="A2:I198">
    <cfRule type="expression" dxfId="0" priority="2">
      <formula>$H2="Done"</formula>
    </cfRule>
  </conditionalFormatting>
  <dataValidations count="1">
    <dataValidation type="list" allowBlank="1" sqref="H2:H198" xr:uid="{00000000-0002-0000-0A00-000000000000}">
      <formula1>"To do,Writing,Done,Skip"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Latest Jobs</vt:lpstr>
      <vt:lpstr>Vacancy &amp; Eligibility</vt:lpstr>
      <vt:lpstr>Admit Card</vt:lpstr>
      <vt:lpstr>Result</vt:lpstr>
      <vt:lpstr>Answer Key</vt:lpstr>
      <vt:lpstr>Admission</vt:lpstr>
      <vt:lpstr>Syllabus</vt:lpstr>
      <vt:lpstr>Exam Date</vt:lpstr>
      <vt:lpstr>All Posts – To Write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2026-10-30T14:42:45Z</dcterms:created>
  <dcterms:modified xsi:type="dcterms:W3CDTF">2026-10-30T15:01:44Z</dcterms:modified>
  <dc:language>en-US</dc:language>
</cp:coreProperties>
</file>